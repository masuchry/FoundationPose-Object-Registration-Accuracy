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717ebb8479abf4/Veröffentlichungen/NATURE SR/Einreichung/Review/"/>
    </mc:Choice>
  </mc:AlternateContent>
  <xr:revisionPtr revIDLastSave="0" documentId="8_{AAF5320B-3146-4771-B347-2879B3D5E1B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GT and EP" sheetId="1" r:id="rId1"/>
    <sheet name="raw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9" i="1" l="1" a="1"/>
  <c r="I159" i="1" s="1"/>
  <c r="I155" i="1" a="1"/>
  <c r="I155" i="1" s="1"/>
  <c r="I151" i="1" a="1"/>
  <c r="I151" i="1" s="1"/>
  <c r="I147" i="1" a="1"/>
  <c r="I147" i="1" s="1"/>
  <c r="I143" i="1" a="1"/>
  <c r="I143" i="1" s="1"/>
  <c r="I139" i="1" a="1"/>
  <c r="I139" i="1" s="1"/>
  <c r="I135" i="1" a="1"/>
  <c r="I135" i="1" s="1"/>
  <c r="I131" i="1" a="1"/>
  <c r="I131" i="1" s="1"/>
  <c r="I127" i="1" a="1"/>
  <c r="I127" i="1" s="1"/>
  <c r="I123" i="1" a="1"/>
  <c r="I123" i="1" s="1"/>
  <c r="I119" i="1" a="1"/>
  <c r="I119" i="1" s="1"/>
  <c r="I115" i="1" a="1"/>
  <c r="I115" i="1" s="1"/>
  <c r="I111" i="1" a="1"/>
  <c r="I111" i="1" s="1"/>
  <c r="I107" i="1" a="1"/>
  <c r="I107" i="1" s="1"/>
  <c r="I103" i="1" a="1"/>
  <c r="I103" i="1" s="1"/>
  <c r="I99" i="1" a="1"/>
  <c r="I99" i="1" s="1"/>
  <c r="I95" i="1" a="1"/>
  <c r="I95" i="1" s="1"/>
  <c r="I91" i="1" a="1"/>
  <c r="I91" i="1" s="1"/>
  <c r="I87" i="1" a="1"/>
  <c r="I87" i="1" s="1"/>
  <c r="I83" i="1" a="1"/>
  <c r="I83" i="1" s="1"/>
  <c r="I79" i="1" a="1"/>
  <c r="I79" i="1" s="1"/>
  <c r="I75" i="1" a="1"/>
  <c r="I75" i="1" s="1"/>
  <c r="I71" i="1" a="1"/>
  <c r="I71" i="1" s="1"/>
  <c r="I67" i="1" a="1"/>
  <c r="I67" i="1" s="1"/>
  <c r="I63" i="1" a="1"/>
  <c r="I63" i="1" s="1"/>
  <c r="I59" i="1" a="1"/>
  <c r="I59" i="1" s="1"/>
  <c r="I55" i="1" a="1"/>
  <c r="I55" i="1" s="1"/>
  <c r="I51" i="1" a="1"/>
  <c r="I51" i="1" s="1"/>
  <c r="I47" i="1" a="1"/>
  <c r="I47" i="1" s="1"/>
  <c r="I43" i="1" a="1"/>
  <c r="I43" i="1" s="1"/>
  <c r="I39" i="1" a="1"/>
  <c r="I39" i="1" s="1"/>
  <c r="I35" i="1" a="1"/>
  <c r="I35" i="1" s="1"/>
  <c r="I31" i="1" a="1"/>
  <c r="I31" i="1" s="1"/>
  <c r="I27" i="1" a="1"/>
  <c r="I27" i="1" s="1"/>
  <c r="I23" i="1" a="1"/>
  <c r="I23" i="1" s="1"/>
  <c r="I3" i="1" a="1"/>
  <c r="I3" i="1" s="1"/>
  <c r="I19" i="1" a="1"/>
  <c r="I19" i="1" s="1"/>
  <c r="I15" i="1" a="1"/>
  <c r="I15" i="1" s="1"/>
  <c r="I11" i="1" a="1"/>
  <c r="I11" i="1" s="1"/>
  <c r="I7" i="1" a="1"/>
  <c r="I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A9DBD-8DD2-4776-BF6C-252FE10D7F42}" keepAlive="1" name="Query - Results#" description="Connection to the 'Results#' query in the workbook." type="5" refreshedVersion="8" background="1" saveData="1">
    <dbPr connection="Provider=Microsoft.Mashup.OleDb.1;Data Source=$Workbook$;Location=Results#;Extended Properties=&quot;&quot;" command="SELECT * FROM [Results#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<sst xmlns="http://schemas.openxmlformats.org/spreadsheetml/2006/main" count="81" uniqueCount="18">
  <si>
    <t>Mode</t>
  </si>
  <si>
    <t>Pose</t>
  </si>
  <si>
    <t>SS-400-9</t>
  </si>
  <si>
    <t>Tracking</t>
  </si>
  <si>
    <t>SS-810-61-4</t>
  </si>
  <si>
    <t>SS-810-3</t>
  </si>
  <si>
    <t>Flange</t>
  </si>
  <si>
    <t>Bauteil</t>
  </si>
  <si>
    <t>EPbaseToTCP</t>
  </si>
  <si>
    <t>EPTCPtoCamera</t>
  </si>
  <si>
    <t>-</t>
  </si>
  <si>
    <t>Estimated Pose</t>
  </si>
  <si>
    <t>Ground Truth</t>
  </si>
  <si>
    <t xml:space="preserve">Matrix </t>
  </si>
  <si>
    <t xml:space="preserve">EPcameraToObject </t>
  </si>
  <si>
    <t>One Shot</t>
  </si>
  <si>
    <t>Raw Data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</si>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</sst>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8" xfId="0" applyBorder="1"/>
    <xf numFmtId="2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5" fontId="0" fillId="0" borderId="16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5" fontId="0" fillId="0" borderId="17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65" fontId="0" fillId="0" borderId="18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165" fontId="0" fillId="0" borderId="11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4" xfId="0" applyNumberFormat="1" applyBorder="1"/>
    <xf numFmtId="0" fontId="0" fillId="0" borderId="5" xfId="0" applyBorder="1"/>
    <xf numFmtId="0" fontId="0" fillId="0" borderId="7" xfId="0" applyBorder="1"/>
    <xf numFmtId="0" fontId="0" fillId="0" borderId="17" xfId="0" applyBorder="1"/>
    <xf numFmtId="0" fontId="0" fillId="0" borderId="19" xfId="0" applyBorder="1"/>
    <xf numFmtId="0" fontId="0" fillId="0" borderId="23" xfId="0" applyBorder="1"/>
    <xf numFmtId="0" fontId="0" fillId="0" borderId="16" xfId="0" applyBorder="1"/>
    <xf numFmtId="0" fontId="0" fillId="0" borderId="24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88"/>
  <sheetViews>
    <sheetView topLeftCell="A117" zoomScale="80" zoomScaleNormal="100" workbookViewId="0">
      <selection activeCell="B2" sqref="B2"/>
    </sheetView>
  </sheetViews>
  <sheetFormatPr defaultRowHeight="14.4" x14ac:dyDescent="0.3"/>
  <cols>
    <col min="2" max="2" width="8.33203125" bestFit="1" customWidth="1"/>
    <col min="3" max="3" width="11.109375" bestFit="1" customWidth="1"/>
    <col min="4" max="4" width="5.88671875" bestFit="1" customWidth="1"/>
    <col min="5" max="7" width="6.33203125" bestFit="1" customWidth="1"/>
    <col min="8" max="8" width="8.33203125" bestFit="1" customWidth="1"/>
    <col min="9" max="9" width="8.44140625" bestFit="1" customWidth="1"/>
    <col min="10" max="11" width="6.33203125" bestFit="1" customWidth="1"/>
    <col min="12" max="12" width="8.33203125" bestFit="1" customWidth="1"/>
    <col min="13" max="14" width="3" bestFit="1" customWidth="1"/>
    <col min="15" max="15" width="17.88671875" hidden="1" customWidth="1"/>
    <col min="16" max="16" width="8.33203125" hidden="1" customWidth="1"/>
    <col min="17" max="17" width="11.109375" hidden="1" customWidth="1"/>
    <col min="18" max="18" width="5.33203125" hidden="1" customWidth="1"/>
    <col min="19" max="19" width="8.6640625" hidden="1" customWidth="1"/>
    <col min="20" max="21" width="7.88671875" hidden="1" customWidth="1"/>
    <col min="22" max="22" width="9.33203125" hidden="1" customWidth="1"/>
    <col min="23" max="23" width="6.5546875" bestFit="1" customWidth="1"/>
    <col min="24" max="27" width="7.33203125" bestFit="1" customWidth="1"/>
  </cols>
  <sheetData>
    <row r="2" spans="2:22" ht="15" thickBot="1" x14ac:dyDescent="0.35">
      <c r="B2" s="7" t="s">
        <v>0</v>
      </c>
      <c r="C2" s="7" t="s">
        <v>17</v>
      </c>
      <c r="D2" s="7" t="s">
        <v>1</v>
      </c>
      <c r="E2" s="70" t="s">
        <v>12</v>
      </c>
      <c r="F2" s="70"/>
      <c r="G2" s="70"/>
      <c r="H2" s="70"/>
      <c r="I2" s="70" t="s">
        <v>11</v>
      </c>
      <c r="J2" s="70"/>
      <c r="K2" s="70"/>
      <c r="L2" s="70"/>
      <c r="O2" s="50" t="s">
        <v>16</v>
      </c>
      <c r="P2" s="51"/>
      <c r="Q2" s="51"/>
      <c r="R2" s="51"/>
      <c r="S2" s="51"/>
      <c r="T2" s="51"/>
      <c r="U2" s="51"/>
      <c r="V2" s="52"/>
    </row>
    <row r="3" spans="2:22" x14ac:dyDescent="0.3">
      <c r="B3" s="56" t="s">
        <v>3</v>
      </c>
      <c r="C3" s="56" t="s">
        <v>2</v>
      </c>
      <c r="D3" s="57">
        <v>1</v>
      </c>
      <c r="E3" s="13">
        <v>0</v>
      </c>
      <c r="F3" s="14">
        <v>0</v>
      </c>
      <c r="G3" s="14">
        <v>-1</v>
      </c>
      <c r="H3" s="15">
        <v>1.66</v>
      </c>
      <c r="I3" s="13" cm="1">
        <f t="array" ref="I3:L6">MMULT(MMULT(S5:V8,$S$25:$V$28),S29:V32)</f>
        <v>7.9712999999999295E-3</v>
      </c>
      <c r="J3" s="14">
        <v>-1.4134000000000001E-2</v>
      </c>
      <c r="K3" s="14">
        <v>-0.99953759999999992</v>
      </c>
      <c r="L3" s="15">
        <v>5.3440429999999921</v>
      </c>
      <c r="O3" s="53"/>
      <c r="P3" s="54"/>
      <c r="Q3" s="54"/>
      <c r="R3" s="54"/>
      <c r="S3" s="54"/>
      <c r="T3" s="54"/>
      <c r="U3" s="54"/>
      <c r="V3" s="55"/>
    </row>
    <row r="4" spans="2:22" ht="15" thickBot="1" x14ac:dyDescent="0.35">
      <c r="B4" s="56"/>
      <c r="C4" s="56"/>
      <c r="D4" s="57"/>
      <c r="E4" s="16">
        <v>1</v>
      </c>
      <c r="F4" s="11">
        <v>0</v>
      </c>
      <c r="G4" s="11">
        <v>0</v>
      </c>
      <c r="H4" s="17">
        <v>520.75</v>
      </c>
      <c r="I4" s="16">
        <v>0.99969009999999991</v>
      </c>
      <c r="J4" s="11">
        <v>-7.4855E-3</v>
      </c>
      <c r="K4" s="11">
        <v>8.0827999999999543E-3</v>
      </c>
      <c r="L4" s="17">
        <v>500.55618300000009</v>
      </c>
      <c r="O4" s="61" t="s">
        <v>8</v>
      </c>
      <c r="P4" s="8" t="s">
        <v>0</v>
      </c>
      <c r="Q4" s="8" t="s">
        <v>7</v>
      </c>
      <c r="R4" s="1" t="s">
        <v>1</v>
      </c>
      <c r="S4" s="64" t="s">
        <v>13</v>
      </c>
      <c r="T4" s="65"/>
      <c r="U4" s="65"/>
      <c r="V4" s="66"/>
    </row>
    <row r="5" spans="2:22" x14ac:dyDescent="0.3">
      <c r="B5" s="56"/>
      <c r="C5" s="56"/>
      <c r="D5" s="57"/>
      <c r="E5" s="16">
        <v>0</v>
      </c>
      <c r="F5" s="11">
        <v>-1</v>
      </c>
      <c r="G5" s="11">
        <v>0</v>
      </c>
      <c r="H5" s="17">
        <v>-164.76</v>
      </c>
      <c r="I5" s="16">
        <v>-8.2994999999999996E-3</v>
      </c>
      <c r="J5" s="11">
        <v>-0.99891929999999995</v>
      </c>
      <c r="K5" s="11">
        <v>1.4823000000000001E-2</v>
      </c>
      <c r="L5" s="17">
        <v>-164.95676900000001</v>
      </c>
      <c r="O5" s="62"/>
      <c r="P5" s="61" t="s">
        <v>10</v>
      </c>
      <c r="Q5" s="61" t="s">
        <v>10</v>
      </c>
      <c r="R5" s="58">
        <v>1</v>
      </c>
      <c r="S5" s="21">
        <v>-0.90649999999999997</v>
      </c>
      <c r="T5" s="22">
        <v>-0.42180000000000001</v>
      </c>
      <c r="U5" s="22">
        <v>-1.5900000000000001E-2</v>
      </c>
      <c r="V5" s="23">
        <v>54.39</v>
      </c>
    </row>
    <row r="6" spans="2:22" ht="15" thickBot="1" x14ac:dyDescent="0.35">
      <c r="B6" s="56"/>
      <c r="C6" s="56"/>
      <c r="D6" s="57"/>
      <c r="E6" s="41">
        <v>0</v>
      </c>
      <c r="F6" s="12">
        <v>0</v>
      </c>
      <c r="G6" s="12">
        <v>0</v>
      </c>
      <c r="H6" s="42">
        <v>1</v>
      </c>
      <c r="I6" s="41">
        <v>0</v>
      </c>
      <c r="J6" s="12">
        <v>0</v>
      </c>
      <c r="K6" s="12">
        <v>0</v>
      </c>
      <c r="L6" s="42">
        <v>1</v>
      </c>
      <c r="O6" s="62"/>
      <c r="P6" s="62"/>
      <c r="Q6" s="62"/>
      <c r="R6" s="59"/>
      <c r="S6" s="24">
        <v>-0.42180000000000001</v>
      </c>
      <c r="T6" s="9">
        <v>0.90669999999999995</v>
      </c>
      <c r="U6" s="9">
        <v>-6.1000000000000004E-3</v>
      </c>
      <c r="V6" s="25">
        <v>515.58000000000004</v>
      </c>
    </row>
    <row r="7" spans="2:22" x14ac:dyDescent="0.3">
      <c r="B7" s="56"/>
      <c r="C7" s="56"/>
      <c r="D7" s="57">
        <v>2</v>
      </c>
      <c r="E7" s="13">
        <v>0</v>
      </c>
      <c r="F7" s="14">
        <v>0</v>
      </c>
      <c r="G7" s="14">
        <v>-1</v>
      </c>
      <c r="H7" s="15">
        <v>1.66</v>
      </c>
      <c r="I7" s="13" cm="1">
        <f t="array" ref="I7:L10">MMULT(MMULT(S9:V12,$S$25:$V$28),S33:V36)</f>
        <v>1.8463999999999525E-3</v>
      </c>
      <c r="J7" s="14">
        <v>5.5465100000000003E-2</v>
      </c>
      <c r="K7" s="14">
        <v>-0.99869500000000011</v>
      </c>
      <c r="L7" s="15">
        <v>4.8112199999999987</v>
      </c>
      <c r="O7" s="62"/>
      <c r="P7" s="62"/>
      <c r="Q7" s="62"/>
      <c r="R7" s="59"/>
      <c r="S7" s="24">
        <v>1.7000000000000001E-2</v>
      </c>
      <c r="T7" s="9">
        <v>1.1000000000000001E-3</v>
      </c>
      <c r="U7" s="9">
        <v>-0.99990000000000001</v>
      </c>
      <c r="V7" s="25">
        <v>88.76</v>
      </c>
    </row>
    <row r="8" spans="2:22" ht="15" thickBot="1" x14ac:dyDescent="0.35">
      <c r="B8" s="56"/>
      <c r="C8" s="56"/>
      <c r="D8" s="57"/>
      <c r="E8" s="16">
        <v>1</v>
      </c>
      <c r="F8" s="11">
        <v>0</v>
      </c>
      <c r="G8" s="11">
        <v>0</v>
      </c>
      <c r="H8" s="17">
        <v>520.75</v>
      </c>
      <c r="I8" s="16">
        <v>0.99980659999999999</v>
      </c>
      <c r="J8" s="11">
        <v>-8.2454E-3</v>
      </c>
      <c r="K8" s="11">
        <v>1.5005999999999765E-3</v>
      </c>
      <c r="L8" s="17">
        <v>499.89444900000001</v>
      </c>
      <c r="O8" s="62"/>
      <c r="P8" s="62"/>
      <c r="Q8" s="62"/>
      <c r="R8" s="60"/>
      <c r="S8" s="26">
        <v>0</v>
      </c>
      <c r="T8" s="27">
        <v>0</v>
      </c>
      <c r="U8" s="27">
        <v>0</v>
      </c>
      <c r="V8" s="28">
        <v>1</v>
      </c>
    </row>
    <row r="9" spans="2:22" x14ac:dyDescent="0.3">
      <c r="B9" s="56"/>
      <c r="C9" s="56"/>
      <c r="D9" s="57"/>
      <c r="E9" s="16">
        <v>0</v>
      </c>
      <c r="F9" s="11">
        <v>-1</v>
      </c>
      <c r="G9" s="11">
        <v>0</v>
      </c>
      <c r="H9" s="17">
        <v>-164.76</v>
      </c>
      <c r="I9" s="16">
        <v>-8.1881999999999996E-3</v>
      </c>
      <c r="J9" s="11">
        <v>-0.99803949999999997</v>
      </c>
      <c r="K9" s="11">
        <v>-5.5937599999999997E-2</v>
      </c>
      <c r="L9" s="17">
        <v>-164.64554699999999</v>
      </c>
      <c r="O9" s="62"/>
      <c r="P9" s="62"/>
      <c r="Q9" s="62"/>
      <c r="R9" s="58">
        <v>2</v>
      </c>
      <c r="S9" s="21">
        <v>-0.90680000000000005</v>
      </c>
      <c r="T9" s="22">
        <v>-0.42130000000000001</v>
      </c>
      <c r="U9" s="22">
        <v>-1.61E-2</v>
      </c>
      <c r="V9" s="23">
        <v>52.93</v>
      </c>
    </row>
    <row r="10" spans="2:22" ht="15" thickBot="1" x14ac:dyDescent="0.35">
      <c r="B10" s="56"/>
      <c r="C10" s="56"/>
      <c r="D10" s="57"/>
      <c r="E10" s="18">
        <v>0</v>
      </c>
      <c r="F10" s="19">
        <v>0</v>
      </c>
      <c r="G10" s="19">
        <v>0</v>
      </c>
      <c r="H10" s="20">
        <v>1</v>
      </c>
      <c r="I10" s="18">
        <v>0</v>
      </c>
      <c r="J10" s="19">
        <v>0</v>
      </c>
      <c r="K10" s="19">
        <v>0</v>
      </c>
      <c r="L10" s="20">
        <v>1</v>
      </c>
      <c r="O10" s="62"/>
      <c r="P10" s="62"/>
      <c r="Q10" s="62"/>
      <c r="R10" s="59"/>
      <c r="S10" s="24">
        <v>-0.42120000000000002</v>
      </c>
      <c r="T10" s="9">
        <v>0.90690000000000004</v>
      </c>
      <c r="U10" s="9">
        <v>-6.1999999999999998E-3</v>
      </c>
      <c r="V10" s="25">
        <v>462.48</v>
      </c>
    </row>
    <row r="11" spans="2:22" x14ac:dyDescent="0.3">
      <c r="B11" s="56"/>
      <c r="C11" s="56"/>
      <c r="D11" s="57">
        <v>3</v>
      </c>
      <c r="E11" s="35">
        <v>0</v>
      </c>
      <c r="F11" s="29">
        <v>0</v>
      </c>
      <c r="G11" s="29">
        <v>-1</v>
      </c>
      <c r="H11" s="36">
        <v>1.66</v>
      </c>
      <c r="I11" s="35" cm="1">
        <f t="array" ref="I11:L14">MMULT(MMULT(S13:V16,$S$25:$V$28),S37:V40)</f>
        <v>8.3471999999999869E-3</v>
      </c>
      <c r="J11" s="29">
        <v>3.2096899999999998E-2</v>
      </c>
      <c r="K11" s="29">
        <v>-0.99910310000000002</v>
      </c>
      <c r="L11" s="36">
        <v>5.5145040000000005</v>
      </c>
      <c r="O11" s="62"/>
      <c r="P11" s="62"/>
      <c r="Q11" s="62"/>
      <c r="R11" s="59"/>
      <c r="S11" s="24">
        <v>1.72E-2</v>
      </c>
      <c r="T11" s="9">
        <v>1.1999999999999999E-3</v>
      </c>
      <c r="U11" s="9">
        <v>-0.99990000000000001</v>
      </c>
      <c r="V11" s="25">
        <v>88.75</v>
      </c>
    </row>
    <row r="12" spans="2:22" ht="15" thickBot="1" x14ac:dyDescent="0.35">
      <c r="B12" s="56"/>
      <c r="C12" s="56"/>
      <c r="D12" s="57"/>
      <c r="E12" s="16">
        <v>1</v>
      </c>
      <c r="F12" s="11">
        <v>0</v>
      </c>
      <c r="G12" s="11">
        <v>0</v>
      </c>
      <c r="H12" s="17">
        <v>520.75</v>
      </c>
      <c r="I12" s="16">
        <v>0.99739630000000012</v>
      </c>
      <c r="J12" s="11">
        <v>-7.4229200000000009E-2</v>
      </c>
      <c r="K12" s="11">
        <v>5.6919999999999957E-3</v>
      </c>
      <c r="L12" s="17">
        <v>501.268553</v>
      </c>
      <c r="O12" s="62"/>
      <c r="P12" s="62"/>
      <c r="Q12" s="62"/>
      <c r="R12" s="60"/>
      <c r="S12" s="26">
        <v>0</v>
      </c>
      <c r="T12" s="27">
        <v>0</v>
      </c>
      <c r="U12" s="27">
        <v>0</v>
      </c>
      <c r="V12" s="3">
        <v>1</v>
      </c>
    </row>
    <row r="13" spans="2:22" x14ac:dyDescent="0.3">
      <c r="B13" s="56"/>
      <c r="C13" s="56"/>
      <c r="D13" s="57"/>
      <c r="E13" s="16">
        <v>0</v>
      </c>
      <c r="F13" s="11">
        <v>-1</v>
      </c>
      <c r="G13" s="11">
        <v>0</v>
      </c>
      <c r="H13" s="17">
        <v>-164.76</v>
      </c>
      <c r="I13" s="16">
        <v>-7.3290900000000006E-2</v>
      </c>
      <c r="J13" s="11">
        <v>-0.9972567</v>
      </c>
      <c r="K13" s="11">
        <v>-3.2952300000000004E-2</v>
      </c>
      <c r="L13" s="17">
        <v>-163.457671</v>
      </c>
      <c r="O13" s="62"/>
      <c r="P13" s="62"/>
      <c r="Q13" s="62"/>
      <c r="R13" s="58">
        <v>3</v>
      </c>
      <c r="S13" s="21">
        <v>-0.90680000000000005</v>
      </c>
      <c r="T13" s="22">
        <v>-0.42130000000000001</v>
      </c>
      <c r="U13" s="22">
        <v>-1.61E-2</v>
      </c>
      <c r="V13" s="23">
        <v>2.4700000000000002</v>
      </c>
    </row>
    <row r="14" spans="2:22" ht="15" thickBot="1" x14ac:dyDescent="0.35">
      <c r="B14" s="56"/>
      <c r="C14" s="56"/>
      <c r="D14" s="57"/>
      <c r="E14" s="41">
        <v>0</v>
      </c>
      <c r="F14" s="12">
        <v>0</v>
      </c>
      <c r="G14" s="12">
        <v>0</v>
      </c>
      <c r="H14" s="42">
        <v>1</v>
      </c>
      <c r="I14" s="41">
        <v>0</v>
      </c>
      <c r="J14" s="12">
        <v>0</v>
      </c>
      <c r="K14" s="12">
        <v>0</v>
      </c>
      <c r="L14" s="42">
        <v>1</v>
      </c>
      <c r="O14" s="62"/>
      <c r="P14" s="62"/>
      <c r="Q14" s="62"/>
      <c r="R14" s="59"/>
      <c r="S14" s="24">
        <v>-0.42120000000000002</v>
      </c>
      <c r="T14" s="9">
        <v>0.90690000000000004</v>
      </c>
      <c r="U14" s="9">
        <v>-6.1999999999999998E-3</v>
      </c>
      <c r="V14" s="25">
        <v>514.45000000000005</v>
      </c>
    </row>
    <row r="15" spans="2:22" x14ac:dyDescent="0.3">
      <c r="B15" s="56"/>
      <c r="C15" s="56"/>
      <c r="D15" s="57">
        <v>4</v>
      </c>
      <c r="E15" s="13">
        <v>0</v>
      </c>
      <c r="F15" s="14">
        <v>0</v>
      </c>
      <c r="G15" s="14">
        <v>-1</v>
      </c>
      <c r="H15" s="15">
        <v>1.66</v>
      </c>
      <c r="I15" s="13" cm="1">
        <f t="array" ref="I15:L18">MMULT(MMULT(S17:V20,$S$25:$V$28),S41:V44)</f>
        <v>4.3295E-3</v>
      </c>
      <c r="J15" s="14">
        <v>3.2783300000000015E-2</v>
      </c>
      <c r="K15" s="14">
        <v>-0.99950990000000006</v>
      </c>
      <c r="L15" s="15">
        <v>-1.2424919999999702</v>
      </c>
      <c r="O15" s="62"/>
      <c r="P15" s="62"/>
      <c r="Q15" s="62"/>
      <c r="R15" s="59"/>
      <c r="S15" s="24">
        <v>1.72E-2</v>
      </c>
      <c r="T15" s="9">
        <v>1.1999999999999999E-3</v>
      </c>
      <c r="U15" s="9">
        <v>-0.99990000000000001</v>
      </c>
      <c r="V15" s="25">
        <v>88.81</v>
      </c>
    </row>
    <row r="16" spans="2:22" ht="15" thickBot="1" x14ac:dyDescent="0.35">
      <c r="B16" s="56"/>
      <c r="C16" s="56"/>
      <c r="D16" s="57"/>
      <c r="E16" s="16">
        <v>1</v>
      </c>
      <c r="F16" s="11">
        <v>0</v>
      </c>
      <c r="G16" s="11">
        <v>0</v>
      </c>
      <c r="H16" s="17">
        <v>520.75</v>
      </c>
      <c r="I16" s="16">
        <v>0.99746370000000006</v>
      </c>
      <c r="J16" s="11">
        <v>-6.9812999999999986E-2</v>
      </c>
      <c r="K16" s="11">
        <v>2.4016999999999997E-3</v>
      </c>
      <c r="L16" s="17">
        <v>501.84685200000001</v>
      </c>
      <c r="O16" s="62"/>
      <c r="P16" s="62"/>
      <c r="Q16" s="62"/>
      <c r="R16" s="60"/>
      <c r="S16" s="26">
        <v>0</v>
      </c>
      <c r="T16" s="27">
        <v>0</v>
      </c>
      <c r="U16" s="27">
        <v>0</v>
      </c>
      <c r="V16" s="3">
        <v>1</v>
      </c>
    </row>
    <row r="17" spans="2:22" x14ac:dyDescent="0.3">
      <c r="B17" s="56"/>
      <c r="C17" s="56"/>
      <c r="D17" s="57"/>
      <c r="E17" s="16">
        <v>0</v>
      </c>
      <c r="F17" s="11">
        <v>-1</v>
      </c>
      <c r="G17" s="11">
        <v>0</v>
      </c>
      <c r="H17" s="17">
        <v>-164.76</v>
      </c>
      <c r="I17" s="16">
        <v>-6.9465200000000005E-2</v>
      </c>
      <c r="J17" s="11">
        <v>-0.99724540000000017</v>
      </c>
      <c r="K17" s="11">
        <v>-3.3658800000000044E-2</v>
      </c>
      <c r="L17" s="17">
        <v>-167.218299</v>
      </c>
      <c r="O17" s="62"/>
      <c r="P17" s="62"/>
      <c r="Q17" s="62"/>
      <c r="R17" s="58">
        <v>4</v>
      </c>
      <c r="S17" s="21">
        <v>-0.53290000000000004</v>
      </c>
      <c r="T17" s="22">
        <v>-5.3499999999999999E-2</v>
      </c>
      <c r="U17" s="22">
        <v>0.84450000000000003</v>
      </c>
      <c r="V17" s="23">
        <v>-161.57</v>
      </c>
    </row>
    <row r="18" spans="2:22" ht="15" thickBot="1" x14ac:dyDescent="0.35">
      <c r="B18" s="56"/>
      <c r="C18" s="56"/>
      <c r="D18" s="57"/>
      <c r="E18" s="18">
        <v>0</v>
      </c>
      <c r="F18" s="19">
        <v>0</v>
      </c>
      <c r="G18" s="19">
        <v>0</v>
      </c>
      <c r="H18" s="20">
        <v>1</v>
      </c>
      <c r="I18" s="18">
        <v>0</v>
      </c>
      <c r="J18" s="19">
        <v>0</v>
      </c>
      <c r="K18" s="19">
        <v>0</v>
      </c>
      <c r="L18" s="20">
        <v>1</v>
      </c>
      <c r="O18" s="62"/>
      <c r="P18" s="62"/>
      <c r="Q18" s="62"/>
      <c r="R18" s="59"/>
      <c r="S18" s="24">
        <v>-3.15E-2</v>
      </c>
      <c r="T18" s="9">
        <v>0.99860000000000004</v>
      </c>
      <c r="U18" s="9">
        <v>4.3400000000000001E-2</v>
      </c>
      <c r="V18" s="25">
        <v>558.04999999999995</v>
      </c>
    </row>
    <row r="19" spans="2:22" x14ac:dyDescent="0.3">
      <c r="B19" s="56"/>
      <c r="C19" s="56"/>
      <c r="D19" s="57">
        <v>5</v>
      </c>
      <c r="E19" s="35">
        <v>0</v>
      </c>
      <c r="F19" s="29">
        <v>0</v>
      </c>
      <c r="G19" s="29">
        <v>-1</v>
      </c>
      <c r="H19" s="36">
        <v>1.66</v>
      </c>
      <c r="I19" s="35" cm="1">
        <f t="array" ref="I19:L22">MMULT(MMULT(S21:V24,$S$25:$V$28),S45:V48)</f>
        <v>-2.6158000000000015E-3</v>
      </c>
      <c r="J19" s="29">
        <v>-0.16490190000000005</v>
      </c>
      <c r="K19" s="29">
        <v>-0.98636610000000002</v>
      </c>
      <c r="L19" s="36">
        <v>6.0810400000000016</v>
      </c>
      <c r="O19" s="62"/>
      <c r="P19" s="62"/>
      <c r="Q19" s="62"/>
      <c r="R19" s="59"/>
      <c r="S19" s="24">
        <v>-0.84560000000000002</v>
      </c>
      <c r="T19" s="9">
        <v>-3.5000000000000001E-3</v>
      </c>
      <c r="U19" s="9">
        <v>-0.53380000000000005</v>
      </c>
      <c r="V19" s="25">
        <v>-26.32</v>
      </c>
    </row>
    <row r="20" spans="2:22" ht="15" thickBot="1" x14ac:dyDescent="0.35">
      <c r="B20" s="56"/>
      <c r="C20" s="56"/>
      <c r="D20" s="57"/>
      <c r="E20" s="16">
        <v>1</v>
      </c>
      <c r="F20" s="11">
        <v>0</v>
      </c>
      <c r="G20" s="11">
        <v>0</v>
      </c>
      <c r="H20" s="17">
        <v>520.75</v>
      </c>
      <c r="I20" s="16">
        <v>0.99968039999999991</v>
      </c>
      <c r="J20" s="11">
        <v>-2.2144500000000067E-2</v>
      </c>
      <c r="K20" s="11">
        <v>1.3941000000000509E-3</v>
      </c>
      <c r="L20" s="17">
        <v>494.47740899999997</v>
      </c>
      <c r="O20" s="62"/>
      <c r="P20" s="62"/>
      <c r="Q20" s="62"/>
      <c r="R20" s="60"/>
      <c r="S20" s="26">
        <v>0</v>
      </c>
      <c r="T20" s="27">
        <v>0</v>
      </c>
      <c r="U20" s="27">
        <v>0</v>
      </c>
      <c r="V20" s="3">
        <v>1</v>
      </c>
    </row>
    <row r="21" spans="2:22" x14ac:dyDescent="0.3">
      <c r="B21" s="56"/>
      <c r="C21" s="56"/>
      <c r="D21" s="57"/>
      <c r="E21" s="16">
        <v>0</v>
      </c>
      <c r="F21" s="11">
        <v>-1</v>
      </c>
      <c r="G21" s="11">
        <v>0</v>
      </c>
      <c r="H21" s="17">
        <v>-164.76</v>
      </c>
      <c r="I21" s="16">
        <v>-2.246579999999998E-2</v>
      </c>
      <c r="J21" s="11">
        <v>-0.98588220000000004</v>
      </c>
      <c r="K21" s="11">
        <v>0.1648638</v>
      </c>
      <c r="L21" s="17">
        <v>-164.10123300000001</v>
      </c>
      <c r="O21" s="62"/>
      <c r="P21" s="62"/>
      <c r="Q21" s="62"/>
      <c r="R21" s="58">
        <v>5</v>
      </c>
      <c r="S21" s="21">
        <v>-0.80110000000000003</v>
      </c>
      <c r="T21" s="22">
        <v>-0.5524</v>
      </c>
      <c r="U21" s="22">
        <v>-0.23050000000000001</v>
      </c>
      <c r="V21" s="23">
        <v>46.99</v>
      </c>
    </row>
    <row r="22" spans="2:22" ht="15" thickBot="1" x14ac:dyDescent="0.35">
      <c r="B22" s="56"/>
      <c r="C22" s="56"/>
      <c r="D22" s="57"/>
      <c r="E22" s="41">
        <v>0</v>
      </c>
      <c r="F22" s="12">
        <v>0</v>
      </c>
      <c r="G22" s="12">
        <v>0</v>
      </c>
      <c r="H22" s="42">
        <v>1</v>
      </c>
      <c r="I22" s="41">
        <v>0</v>
      </c>
      <c r="J22" s="12">
        <v>0</v>
      </c>
      <c r="K22" s="12">
        <v>0</v>
      </c>
      <c r="L22" s="42">
        <v>1</v>
      </c>
      <c r="O22" s="62"/>
      <c r="P22" s="62"/>
      <c r="Q22" s="62"/>
      <c r="R22" s="59"/>
      <c r="S22" s="24">
        <v>-0.32079999999999997</v>
      </c>
      <c r="T22" s="9">
        <v>0.72130000000000005</v>
      </c>
      <c r="U22" s="9">
        <v>-0.61380000000000001</v>
      </c>
      <c r="V22" s="25">
        <v>638.20000000000005</v>
      </c>
    </row>
    <row r="23" spans="2:22" x14ac:dyDescent="0.3">
      <c r="B23" s="56" t="s">
        <v>3</v>
      </c>
      <c r="C23" s="56" t="s">
        <v>4</v>
      </c>
      <c r="D23" s="57">
        <v>1</v>
      </c>
      <c r="E23" s="13">
        <v>0</v>
      </c>
      <c r="F23" s="14">
        <v>0</v>
      </c>
      <c r="G23" s="14">
        <v>-1</v>
      </c>
      <c r="H23" s="15">
        <v>50.66</v>
      </c>
      <c r="I23" s="13" cm="1">
        <f t="array" ref="I23:L26">MMULT(MMULT(S5:V8,$S$25:$V$28),S49:V52)</f>
        <v>-0.9999576</v>
      </c>
      <c r="J23" s="14">
        <v>-1.6668499999999999E-2</v>
      </c>
      <c r="K23" s="14">
        <v>0.2830049</v>
      </c>
      <c r="L23" s="15">
        <v>54.021061999999993</v>
      </c>
      <c r="O23" s="62"/>
      <c r="P23" s="62"/>
      <c r="Q23" s="62"/>
      <c r="R23" s="59"/>
      <c r="S23" s="24">
        <v>0.50529999999999997</v>
      </c>
      <c r="T23" s="9">
        <v>-0.41770000000000002</v>
      </c>
      <c r="U23" s="9">
        <v>-0.75509999999999999</v>
      </c>
      <c r="V23" s="25">
        <v>-50.23</v>
      </c>
    </row>
    <row r="24" spans="2:22" ht="15" thickBot="1" x14ac:dyDescent="0.35">
      <c r="B24" s="56"/>
      <c r="C24" s="56"/>
      <c r="D24" s="57"/>
      <c r="E24" s="16">
        <v>1</v>
      </c>
      <c r="F24" s="11">
        <v>0</v>
      </c>
      <c r="G24" s="11">
        <v>0</v>
      </c>
      <c r="H24" s="17">
        <v>547.67999999999995</v>
      </c>
      <c r="I24" s="16">
        <v>-2.0748200000000036E-2</v>
      </c>
      <c r="J24" s="11">
        <v>9.6973999999999984E-3</v>
      </c>
      <c r="K24" s="11">
        <v>0.34676750000000006</v>
      </c>
      <c r="L24" s="17">
        <v>528.17166700000007</v>
      </c>
      <c r="O24" s="63"/>
      <c r="P24" s="63"/>
      <c r="Q24" s="63"/>
      <c r="R24" s="60"/>
      <c r="S24" s="26">
        <v>0</v>
      </c>
      <c r="T24" s="27">
        <v>0</v>
      </c>
      <c r="U24" s="27">
        <v>0</v>
      </c>
      <c r="V24" s="3">
        <v>1</v>
      </c>
    </row>
    <row r="25" spans="2:22" x14ac:dyDescent="0.3">
      <c r="B25" s="56"/>
      <c r="C25" s="56"/>
      <c r="D25" s="57"/>
      <c r="E25" s="16">
        <v>0</v>
      </c>
      <c r="F25" s="11">
        <v>-1</v>
      </c>
      <c r="G25" s="11">
        <v>0</v>
      </c>
      <c r="H25" s="17">
        <v>-159.96</v>
      </c>
      <c r="I25" s="16">
        <v>-1.6998400000000004E-2</v>
      </c>
      <c r="J25" s="11">
        <v>0.99939479999999992</v>
      </c>
      <c r="K25" s="11">
        <v>-1.0636100000000001E-2</v>
      </c>
      <c r="L25" s="17">
        <v>-159.26903100000004</v>
      </c>
      <c r="O25" s="61" t="s">
        <v>9</v>
      </c>
      <c r="P25" s="61" t="s">
        <v>10</v>
      </c>
      <c r="Q25" s="61" t="s">
        <v>10</v>
      </c>
      <c r="R25" s="58" t="s">
        <v>10</v>
      </c>
      <c r="S25" s="30">
        <v>0</v>
      </c>
      <c r="T25" s="31">
        <v>1</v>
      </c>
      <c r="U25" s="31">
        <v>0</v>
      </c>
      <c r="V25" s="23">
        <v>0</v>
      </c>
    </row>
    <row r="26" spans="2:22" ht="15" thickBot="1" x14ac:dyDescent="0.35">
      <c r="B26" s="56"/>
      <c r="C26" s="56"/>
      <c r="D26" s="57"/>
      <c r="E26" s="18">
        <v>0</v>
      </c>
      <c r="F26" s="19">
        <v>0</v>
      </c>
      <c r="G26" s="19">
        <v>0</v>
      </c>
      <c r="H26" s="20">
        <v>1</v>
      </c>
      <c r="I26" s="18">
        <v>0</v>
      </c>
      <c r="J26" s="19">
        <v>0</v>
      </c>
      <c r="K26" s="19">
        <v>0</v>
      </c>
      <c r="L26" s="20">
        <v>1</v>
      </c>
      <c r="O26" s="62"/>
      <c r="P26" s="62"/>
      <c r="Q26" s="62"/>
      <c r="R26" s="59"/>
      <c r="S26" s="32">
        <v>-1</v>
      </c>
      <c r="T26" s="10">
        <v>0</v>
      </c>
      <c r="U26" s="10">
        <v>0</v>
      </c>
      <c r="V26" s="25">
        <v>0</v>
      </c>
    </row>
    <row r="27" spans="2:22" x14ac:dyDescent="0.3">
      <c r="B27" s="56"/>
      <c r="C27" s="56"/>
      <c r="D27" s="57">
        <v>2</v>
      </c>
      <c r="E27" s="35">
        <v>0</v>
      </c>
      <c r="F27" s="29">
        <v>0</v>
      </c>
      <c r="G27" s="29">
        <v>-1</v>
      </c>
      <c r="H27" s="36">
        <v>50.66</v>
      </c>
      <c r="I27" s="35" cm="1">
        <f t="array" ref="I27:L30">MMULT(MMULT(S9:V12,$S$25:$V$28),S53:V56)</f>
        <v>-0.99942990000000009</v>
      </c>
      <c r="J27" s="29">
        <v>1.1927099999999996E-2</v>
      </c>
      <c r="K27" s="29">
        <v>7.168999999999804E-4</v>
      </c>
      <c r="L27" s="36">
        <v>52.871787000000005</v>
      </c>
      <c r="O27" s="62"/>
      <c r="P27" s="62"/>
      <c r="Q27" s="62"/>
      <c r="R27" s="59"/>
      <c r="S27" s="32">
        <v>0</v>
      </c>
      <c r="T27" s="10">
        <v>0</v>
      </c>
      <c r="U27" s="10">
        <v>1</v>
      </c>
      <c r="V27" s="25">
        <v>8.3000000000000007</v>
      </c>
    </row>
    <row r="28" spans="2:22" ht="15" thickBot="1" x14ac:dyDescent="0.35">
      <c r="B28" s="56"/>
      <c r="C28" s="56"/>
      <c r="D28" s="57"/>
      <c r="E28" s="16">
        <v>1</v>
      </c>
      <c r="F28" s="11">
        <v>0</v>
      </c>
      <c r="G28" s="11">
        <v>0</v>
      </c>
      <c r="H28" s="17">
        <v>547.67999999999995</v>
      </c>
      <c r="I28" s="16">
        <v>1.0735999999999556E-3</v>
      </c>
      <c r="J28" s="11">
        <v>4.8366600000000003E-2</v>
      </c>
      <c r="K28" s="11">
        <v>0.99823050000000002</v>
      </c>
      <c r="L28" s="17">
        <v>527.62670400000002</v>
      </c>
      <c r="O28" s="63"/>
      <c r="P28" s="63"/>
      <c r="Q28" s="63"/>
      <c r="R28" s="60"/>
      <c r="S28" s="33">
        <v>0</v>
      </c>
      <c r="T28" s="34">
        <v>0</v>
      </c>
      <c r="U28" s="34">
        <v>0</v>
      </c>
      <c r="V28" s="28">
        <v>1</v>
      </c>
    </row>
    <row r="29" spans="2:22" x14ac:dyDescent="0.3">
      <c r="B29" s="56"/>
      <c r="C29" s="56"/>
      <c r="D29" s="57"/>
      <c r="E29" s="16">
        <v>0</v>
      </c>
      <c r="F29" s="11">
        <v>-1</v>
      </c>
      <c r="G29" s="11">
        <v>0</v>
      </c>
      <c r="H29" s="17">
        <v>-159.96</v>
      </c>
      <c r="I29" s="16">
        <v>1.1090099999999999E-2</v>
      </c>
      <c r="J29" s="11">
        <v>0.99870729999999996</v>
      </c>
      <c r="K29" s="11">
        <v>-4.8168200000000001E-2</v>
      </c>
      <c r="L29" s="17">
        <v>-161.569669</v>
      </c>
      <c r="O29" s="67" t="s">
        <v>14</v>
      </c>
      <c r="P29" s="61" t="s">
        <v>3</v>
      </c>
      <c r="Q29" s="61" t="s">
        <v>2</v>
      </c>
      <c r="R29" s="58">
        <v>1</v>
      </c>
      <c r="S29" s="13">
        <v>-0.90300000000000002</v>
      </c>
      <c r="T29" s="14">
        <v>2E-3</v>
      </c>
      <c r="U29" s="14">
        <v>-0.42899999999999999</v>
      </c>
      <c r="V29" s="15">
        <v>-6.77</v>
      </c>
    </row>
    <row r="30" spans="2:22" ht="15" thickBot="1" x14ac:dyDescent="0.35">
      <c r="B30" s="56"/>
      <c r="C30" s="56"/>
      <c r="D30" s="57"/>
      <c r="E30" s="41">
        <v>0</v>
      </c>
      <c r="F30" s="12">
        <v>0</v>
      </c>
      <c r="G30" s="12">
        <v>0</v>
      </c>
      <c r="H30" s="42">
        <v>1</v>
      </c>
      <c r="I30" s="41">
        <v>0</v>
      </c>
      <c r="J30" s="12">
        <v>0</v>
      </c>
      <c r="K30" s="12">
        <v>0</v>
      </c>
      <c r="L30" s="42">
        <v>1</v>
      </c>
      <c r="O30" s="68"/>
      <c r="P30" s="62"/>
      <c r="Q30" s="62"/>
      <c r="R30" s="59"/>
      <c r="S30" s="16">
        <v>-0.42899999999999999</v>
      </c>
      <c r="T30" s="11">
        <v>-1E-3</v>
      </c>
      <c r="U30" s="11">
        <v>0.90300000000000002</v>
      </c>
      <c r="V30" s="17">
        <v>46.49</v>
      </c>
    </row>
    <row r="31" spans="2:22" x14ac:dyDescent="0.3">
      <c r="B31" s="56"/>
      <c r="C31" s="56"/>
      <c r="D31" s="57">
        <v>3</v>
      </c>
      <c r="E31" s="13">
        <v>0</v>
      </c>
      <c r="F31" s="14">
        <v>0</v>
      </c>
      <c r="G31" s="14">
        <v>-1</v>
      </c>
      <c r="H31" s="15">
        <v>50.66</v>
      </c>
      <c r="I31" s="13" cm="1">
        <f t="array" ref="I31:L34">MMULT(MMULT(S13:V16,$S$25:$V$28),S57:V60)</f>
        <v>-1.0001848000000002</v>
      </c>
      <c r="J31" s="14">
        <v>-2.7460000000000331E-4</v>
      </c>
      <c r="K31" s="14">
        <v>-1.9271099999999999E-2</v>
      </c>
      <c r="L31" s="15">
        <v>53.852899000000001</v>
      </c>
      <c r="O31" s="68"/>
      <c r="P31" s="62"/>
      <c r="Q31" s="62"/>
      <c r="R31" s="59"/>
      <c r="S31" s="16">
        <v>2E-3</v>
      </c>
      <c r="T31" s="11">
        <v>0.999</v>
      </c>
      <c r="U31" s="11">
        <v>1E-3</v>
      </c>
      <c r="V31" s="17">
        <v>246.24</v>
      </c>
    </row>
    <row r="32" spans="2:22" ht="15" thickBot="1" x14ac:dyDescent="0.35">
      <c r="B32" s="56"/>
      <c r="C32" s="56"/>
      <c r="D32" s="57"/>
      <c r="E32" s="16">
        <v>1</v>
      </c>
      <c r="F32" s="11">
        <v>0</v>
      </c>
      <c r="G32" s="11">
        <v>0</v>
      </c>
      <c r="H32" s="17">
        <v>547.67999999999995</v>
      </c>
      <c r="I32" s="16">
        <v>-1.9109599999999984E-2</v>
      </c>
      <c r="J32" s="11">
        <v>1.2929099999999999E-2</v>
      </c>
      <c r="K32" s="11">
        <v>0.99992870000000011</v>
      </c>
      <c r="L32" s="17">
        <v>529.21780799999999</v>
      </c>
      <c r="O32" s="68"/>
      <c r="P32" s="62"/>
      <c r="Q32" s="62"/>
      <c r="R32" s="60"/>
      <c r="S32" s="18">
        <v>0</v>
      </c>
      <c r="T32" s="19">
        <v>0</v>
      </c>
      <c r="U32" s="19">
        <v>0</v>
      </c>
      <c r="V32" s="20">
        <v>1</v>
      </c>
    </row>
    <row r="33" spans="2:22" x14ac:dyDescent="0.3">
      <c r="B33" s="56"/>
      <c r="C33" s="56"/>
      <c r="D33" s="57"/>
      <c r="E33" s="16">
        <v>0</v>
      </c>
      <c r="F33" s="11">
        <v>-1</v>
      </c>
      <c r="G33" s="11">
        <v>0</v>
      </c>
      <c r="H33" s="17">
        <v>-159.96</v>
      </c>
      <c r="I33" s="16">
        <v>2.2440000000000307E-4</v>
      </c>
      <c r="J33" s="11">
        <v>0.9991220999999999</v>
      </c>
      <c r="K33" s="11">
        <v>-1.3850000000000001E-2</v>
      </c>
      <c r="L33" s="17">
        <v>-160.18756500000001</v>
      </c>
      <c r="O33" s="68"/>
      <c r="P33" s="62"/>
      <c r="Q33" s="62"/>
      <c r="R33" s="58">
        <v>2</v>
      </c>
      <c r="S33" s="13">
        <v>-0.90600000000000003</v>
      </c>
      <c r="T33" s="14">
        <v>3.2000000000000001E-2</v>
      </c>
      <c r="U33" s="14">
        <v>-0.42199999999999999</v>
      </c>
      <c r="V33" s="15">
        <v>-53.91</v>
      </c>
    </row>
    <row r="34" spans="2:22" ht="15" thickBot="1" x14ac:dyDescent="0.35">
      <c r="B34" s="56"/>
      <c r="C34" s="56"/>
      <c r="D34" s="57"/>
      <c r="E34" s="18">
        <v>0</v>
      </c>
      <c r="F34" s="19">
        <v>0</v>
      </c>
      <c r="G34" s="19">
        <v>0</v>
      </c>
      <c r="H34" s="20">
        <v>1</v>
      </c>
      <c r="I34" s="18">
        <v>0</v>
      </c>
      <c r="J34" s="19">
        <v>0</v>
      </c>
      <c r="K34" s="19">
        <v>0</v>
      </c>
      <c r="L34" s="20">
        <v>1</v>
      </c>
      <c r="O34" s="68"/>
      <c r="P34" s="62"/>
      <c r="Q34" s="62"/>
      <c r="R34" s="59"/>
      <c r="S34" s="16">
        <v>-0.42299999999999999</v>
      </c>
      <c r="T34" s="11">
        <v>-6.4000000000000001E-2</v>
      </c>
      <c r="U34" s="11">
        <v>0.90400000000000003</v>
      </c>
      <c r="V34" s="17">
        <v>23.51</v>
      </c>
    </row>
    <row r="35" spans="2:22" x14ac:dyDescent="0.3">
      <c r="B35" s="56"/>
      <c r="C35" s="56"/>
      <c r="D35" s="57">
        <v>4</v>
      </c>
      <c r="E35" s="35">
        <v>0</v>
      </c>
      <c r="F35" s="29">
        <v>0</v>
      </c>
      <c r="G35" s="29">
        <v>-1</v>
      </c>
      <c r="H35" s="36">
        <v>50.66</v>
      </c>
      <c r="I35" s="35" cm="1">
        <f t="array" ref="I35:L38">MMULT(MMULT(S17:V20,$S$25:$V$28),S61:V64)</f>
        <v>-0.99942590000000009</v>
      </c>
      <c r="J35" s="29">
        <v>7.9555000000000042E-3</v>
      </c>
      <c r="K35" s="29">
        <v>-1.3181400000000003E-2</v>
      </c>
      <c r="L35" s="36">
        <v>48.828322000000014</v>
      </c>
      <c r="O35" s="68"/>
      <c r="P35" s="62"/>
      <c r="Q35" s="62"/>
      <c r="R35" s="59"/>
      <c r="S35" s="16">
        <v>2E-3</v>
      </c>
      <c r="T35" s="11">
        <v>0.997</v>
      </c>
      <c r="U35" s="11">
        <v>7.1999999999999995E-2</v>
      </c>
      <c r="V35" s="17">
        <v>245.59</v>
      </c>
    </row>
    <row r="36" spans="2:22" ht="15" thickBot="1" x14ac:dyDescent="0.35">
      <c r="B36" s="56"/>
      <c r="C36" s="56"/>
      <c r="D36" s="57"/>
      <c r="E36" s="16">
        <v>1</v>
      </c>
      <c r="F36" s="11">
        <v>0</v>
      </c>
      <c r="G36" s="11">
        <v>0</v>
      </c>
      <c r="H36" s="17">
        <v>547.67999999999995</v>
      </c>
      <c r="I36" s="16">
        <v>-1.34716E-2</v>
      </c>
      <c r="J36" s="11">
        <v>1.8925599999999997E-2</v>
      </c>
      <c r="K36" s="11">
        <v>0.99970770000000009</v>
      </c>
      <c r="L36" s="17">
        <v>528.86525599999993</v>
      </c>
      <c r="O36" s="68"/>
      <c r="P36" s="62"/>
      <c r="Q36" s="62"/>
      <c r="R36" s="60"/>
      <c r="S36" s="18">
        <v>0</v>
      </c>
      <c r="T36" s="19">
        <v>0</v>
      </c>
      <c r="U36" s="19">
        <v>0</v>
      </c>
      <c r="V36" s="20">
        <v>1</v>
      </c>
    </row>
    <row r="37" spans="2:22" x14ac:dyDescent="0.3">
      <c r="B37" s="56"/>
      <c r="C37" s="56"/>
      <c r="D37" s="57"/>
      <c r="E37" s="16">
        <v>0</v>
      </c>
      <c r="F37" s="11">
        <v>-1</v>
      </c>
      <c r="G37" s="11">
        <v>0</v>
      </c>
      <c r="H37" s="17">
        <v>-159.96</v>
      </c>
      <c r="I37" s="16">
        <v>8.2706000000000723E-3</v>
      </c>
      <c r="J37" s="11">
        <v>0.99948630000000005</v>
      </c>
      <c r="K37" s="11">
        <v>-1.8305700000000005E-2</v>
      </c>
      <c r="L37" s="17">
        <v>-164.58454800000001</v>
      </c>
      <c r="O37" s="68"/>
      <c r="P37" s="62"/>
      <c r="Q37" s="62"/>
      <c r="R37" s="58">
        <v>3</v>
      </c>
      <c r="S37" s="13">
        <v>-0.90100000000000002</v>
      </c>
      <c r="T37" s="14">
        <v>8.2000000000000003E-2</v>
      </c>
      <c r="U37" s="14">
        <v>-0.42599999999999999</v>
      </c>
      <c r="V37" s="15">
        <v>13.53</v>
      </c>
    </row>
    <row r="38" spans="2:22" ht="15" thickBot="1" x14ac:dyDescent="0.35">
      <c r="B38" s="56"/>
      <c r="C38" s="56"/>
      <c r="D38" s="57"/>
      <c r="E38" s="41">
        <v>0</v>
      </c>
      <c r="F38" s="12">
        <v>0</v>
      </c>
      <c r="G38" s="12">
        <v>0</v>
      </c>
      <c r="H38" s="42">
        <v>1</v>
      </c>
      <c r="I38" s="41">
        <v>0</v>
      </c>
      <c r="J38" s="12">
        <v>0</v>
      </c>
      <c r="K38" s="12">
        <v>0</v>
      </c>
      <c r="L38" s="42">
        <v>1</v>
      </c>
      <c r="O38" s="68"/>
      <c r="P38" s="62"/>
      <c r="Q38" s="62"/>
      <c r="R38" s="59"/>
      <c r="S38" s="16">
        <v>-0.42899999999999999</v>
      </c>
      <c r="T38" s="11">
        <v>-1.4999999999999999E-2</v>
      </c>
      <c r="U38" s="11">
        <v>0.90300000000000002</v>
      </c>
      <c r="V38" s="17">
        <v>-1.55</v>
      </c>
    </row>
    <row r="39" spans="2:22" x14ac:dyDescent="0.3">
      <c r="B39" s="56"/>
      <c r="C39" s="56"/>
      <c r="D39" s="57">
        <v>5</v>
      </c>
      <c r="E39" s="13">
        <v>0</v>
      </c>
      <c r="F39" s="14">
        <v>0</v>
      </c>
      <c r="G39" s="14">
        <v>-1</v>
      </c>
      <c r="H39" s="15">
        <v>50.66</v>
      </c>
      <c r="I39" s="13" cm="1">
        <f t="array" ref="I39:L42">MMULT(MMULT(S21:V24,$S$25:$V$28),S65:V68)</f>
        <v>-0.99125479999999999</v>
      </c>
      <c r="J39" s="14">
        <v>7.3320299999999977E-2</v>
      </c>
      <c r="K39" s="14">
        <v>-0.11050010000000002</v>
      </c>
      <c r="L39" s="15">
        <v>52.428876000000002</v>
      </c>
      <c r="O39" s="68"/>
      <c r="P39" s="62"/>
      <c r="Q39" s="62"/>
      <c r="R39" s="59"/>
      <c r="S39" s="16">
        <v>6.7000000000000004E-2</v>
      </c>
      <c r="T39" s="11">
        <v>0.997</v>
      </c>
      <c r="U39" s="11">
        <v>4.9000000000000002E-2</v>
      </c>
      <c r="V39" s="17">
        <v>243.95</v>
      </c>
    </row>
    <row r="40" spans="2:22" ht="15" thickBot="1" x14ac:dyDescent="0.35">
      <c r="B40" s="56"/>
      <c r="C40" s="56"/>
      <c r="D40" s="57"/>
      <c r="E40" s="16">
        <v>1</v>
      </c>
      <c r="F40" s="11">
        <v>0</v>
      </c>
      <c r="G40" s="11">
        <v>0</v>
      </c>
      <c r="H40" s="17">
        <v>547.67999999999995</v>
      </c>
      <c r="I40" s="16">
        <v>-0.11020249999999995</v>
      </c>
      <c r="J40" s="11">
        <v>-0.92316260000000017</v>
      </c>
      <c r="K40" s="11">
        <v>0.3684461</v>
      </c>
      <c r="L40" s="17">
        <v>519.65511900000001</v>
      </c>
      <c r="O40" s="68"/>
      <c r="P40" s="62"/>
      <c r="Q40" s="62"/>
      <c r="R40" s="60"/>
      <c r="S40" s="18">
        <v>0</v>
      </c>
      <c r="T40" s="19">
        <v>0</v>
      </c>
      <c r="U40" s="19">
        <v>0</v>
      </c>
      <c r="V40" s="20">
        <v>1</v>
      </c>
    </row>
    <row r="41" spans="2:22" x14ac:dyDescent="0.3">
      <c r="B41" s="56"/>
      <c r="C41" s="56"/>
      <c r="D41" s="57"/>
      <c r="E41" s="16">
        <v>0</v>
      </c>
      <c r="F41" s="11">
        <v>-1</v>
      </c>
      <c r="G41" s="11">
        <v>0</v>
      </c>
      <c r="H41" s="17">
        <v>-159.96</v>
      </c>
      <c r="I41" s="16">
        <v>-7.4029900000000037E-2</v>
      </c>
      <c r="J41" s="11">
        <v>0.37705969999999989</v>
      </c>
      <c r="K41" s="11">
        <v>0.92354020000000003</v>
      </c>
      <c r="L41" s="17">
        <v>-162.90317099999999</v>
      </c>
      <c r="O41" s="68"/>
      <c r="P41" s="62"/>
      <c r="Q41" s="62"/>
      <c r="R41" s="58">
        <v>4</v>
      </c>
      <c r="S41" s="13">
        <v>-0.996</v>
      </c>
      <c r="T41" s="14">
        <v>6.8000000000000005E-2</v>
      </c>
      <c r="U41" s="14">
        <v>-5.6000000000000001E-2</v>
      </c>
      <c r="V41" s="15">
        <v>64.209999999999994</v>
      </c>
    </row>
    <row r="42" spans="2:22" ht="15" thickBot="1" x14ac:dyDescent="0.35">
      <c r="B42" s="56"/>
      <c r="C42" s="56"/>
      <c r="D42" s="57"/>
      <c r="E42" s="18">
        <v>0</v>
      </c>
      <c r="F42" s="19">
        <v>0</v>
      </c>
      <c r="G42" s="19">
        <v>0</v>
      </c>
      <c r="H42" s="20">
        <v>1</v>
      </c>
      <c r="I42" s="18">
        <v>0</v>
      </c>
      <c r="J42" s="19">
        <v>0</v>
      </c>
      <c r="K42" s="19">
        <v>0</v>
      </c>
      <c r="L42" s="20">
        <v>1</v>
      </c>
      <c r="O42" s="68"/>
      <c r="P42" s="62"/>
      <c r="Q42" s="62"/>
      <c r="R42" s="59"/>
      <c r="S42" s="16">
        <v>2.5000000000000001E-2</v>
      </c>
      <c r="T42" s="11">
        <v>0.82799999999999996</v>
      </c>
      <c r="U42" s="11">
        <v>0.56100000000000005</v>
      </c>
      <c r="V42" s="17">
        <v>35.479999999999997</v>
      </c>
    </row>
    <row r="43" spans="2:22" x14ac:dyDescent="0.3">
      <c r="B43" s="56" t="s">
        <v>3</v>
      </c>
      <c r="C43" s="56" t="s">
        <v>5</v>
      </c>
      <c r="D43" s="57">
        <v>1</v>
      </c>
      <c r="E43" s="35">
        <v>-1</v>
      </c>
      <c r="F43" s="29">
        <v>0</v>
      </c>
      <c r="G43" s="29">
        <v>0</v>
      </c>
      <c r="H43" s="36">
        <v>37.659999999999997</v>
      </c>
      <c r="I43" s="35" cm="1">
        <f t="array" ref="I43:L46">MMULT(MMULT(S5:V8,$S$25:$V$28),S69:V72)</f>
        <v>-0.99963819999999992</v>
      </c>
      <c r="J43" s="29">
        <v>1.1270200000000003E-2</v>
      </c>
      <c r="K43" s="29">
        <v>-2.434140000000001E-2</v>
      </c>
      <c r="L43" s="36">
        <v>40.443882000000002</v>
      </c>
      <c r="O43" s="68"/>
      <c r="P43" s="62"/>
      <c r="Q43" s="62"/>
      <c r="R43" s="59"/>
      <c r="S43" s="16">
        <v>8.4000000000000005E-2</v>
      </c>
      <c r="T43" s="11">
        <v>0.55700000000000005</v>
      </c>
      <c r="U43" s="11">
        <v>-0.82599999999999996</v>
      </c>
      <c r="V43" s="17">
        <v>199.87</v>
      </c>
    </row>
    <row r="44" spans="2:22" ht="15" thickBot="1" x14ac:dyDescent="0.35">
      <c r="B44" s="56"/>
      <c r="C44" s="56"/>
      <c r="D44" s="57"/>
      <c r="E44" s="16">
        <v>0</v>
      </c>
      <c r="F44" s="11">
        <v>0</v>
      </c>
      <c r="G44" s="11">
        <v>1</v>
      </c>
      <c r="H44" s="17">
        <v>547.67999999999995</v>
      </c>
      <c r="I44" s="16">
        <v>-2.5047800000000019E-2</v>
      </c>
      <c r="J44" s="11">
        <v>-1.4803400000000001E-2</v>
      </c>
      <c r="K44" s="11">
        <v>0.99896349999999989</v>
      </c>
      <c r="L44" s="17">
        <v>527.13871900000004</v>
      </c>
      <c r="O44" s="68"/>
      <c r="P44" s="62"/>
      <c r="Q44" s="62"/>
      <c r="R44" s="60"/>
      <c r="S44" s="18">
        <v>0</v>
      </c>
      <c r="T44" s="19">
        <v>0</v>
      </c>
      <c r="U44" s="19">
        <v>0</v>
      </c>
      <c r="V44" s="20">
        <v>1</v>
      </c>
    </row>
    <row r="45" spans="2:22" x14ac:dyDescent="0.3">
      <c r="B45" s="56"/>
      <c r="C45" s="56"/>
      <c r="D45" s="57"/>
      <c r="E45" s="16">
        <v>0</v>
      </c>
      <c r="F45" s="11">
        <v>1</v>
      </c>
      <c r="G45" s="11">
        <v>0</v>
      </c>
      <c r="H45" s="17">
        <v>-160.66</v>
      </c>
      <c r="I45" s="16">
        <v>1.1028400000000001E-2</v>
      </c>
      <c r="J45" s="11">
        <v>0.99910239999999995</v>
      </c>
      <c r="K45" s="11">
        <v>1.52225E-2</v>
      </c>
      <c r="L45" s="17">
        <v>-160.11724500000003</v>
      </c>
      <c r="O45" s="68"/>
      <c r="P45" s="62"/>
      <c r="Q45" s="62"/>
      <c r="R45" s="58">
        <v>5</v>
      </c>
      <c r="S45" s="37">
        <v>-0.73199999999999998</v>
      </c>
      <c r="T45" s="38">
        <v>-0.48699999999999999</v>
      </c>
      <c r="U45" s="38">
        <v>-0.47699999999999998</v>
      </c>
      <c r="V45" s="39">
        <v>33.51</v>
      </c>
    </row>
    <row r="46" spans="2:22" ht="15" thickBot="1" x14ac:dyDescent="0.35">
      <c r="B46" s="56"/>
      <c r="C46" s="56"/>
      <c r="D46" s="57"/>
      <c r="E46" s="41">
        <v>0</v>
      </c>
      <c r="F46" s="12">
        <v>0</v>
      </c>
      <c r="G46" s="12">
        <v>0</v>
      </c>
      <c r="H46" s="42">
        <v>1</v>
      </c>
      <c r="I46" s="41">
        <v>0</v>
      </c>
      <c r="J46" s="12">
        <v>0</v>
      </c>
      <c r="K46" s="12">
        <v>0</v>
      </c>
      <c r="L46" s="42">
        <v>1</v>
      </c>
      <c r="O46" s="68"/>
      <c r="P46" s="62"/>
      <c r="Q46" s="62"/>
      <c r="R46" s="59"/>
      <c r="S46" s="16">
        <v>-0.33</v>
      </c>
      <c r="T46" s="11">
        <v>-0.35899999999999999</v>
      </c>
      <c r="U46" s="11">
        <v>0.873</v>
      </c>
      <c r="V46" s="17">
        <v>21.34</v>
      </c>
    </row>
    <row r="47" spans="2:22" x14ac:dyDescent="0.3">
      <c r="B47" s="56"/>
      <c r="C47" s="56"/>
      <c r="D47" s="57">
        <v>2</v>
      </c>
      <c r="E47" s="13">
        <v>-1</v>
      </c>
      <c r="F47" s="14">
        <v>0</v>
      </c>
      <c r="G47" s="14">
        <v>0</v>
      </c>
      <c r="H47" s="15">
        <v>37.659999999999997</v>
      </c>
      <c r="I47" s="13" cm="1">
        <f t="array" ref="I47:L50">MMULT(MMULT(S9:V12,$S$25:$V$28),S73:V76)</f>
        <v>-0.99927720000000009</v>
      </c>
      <c r="J47" s="14">
        <v>1.59194E-2</v>
      </c>
      <c r="K47" s="14">
        <v>-2.7821599999999981E-2</v>
      </c>
      <c r="L47" s="15">
        <v>39.409788000000006</v>
      </c>
      <c r="O47" s="68"/>
      <c r="P47" s="62"/>
      <c r="Q47" s="62"/>
      <c r="R47" s="59"/>
      <c r="S47" s="16">
        <v>-0.59599999999999997</v>
      </c>
      <c r="T47" s="11">
        <v>0.79600000000000004</v>
      </c>
      <c r="U47" s="11">
        <v>0.10199999999999999</v>
      </c>
      <c r="V47" s="17">
        <v>175.32</v>
      </c>
    </row>
    <row r="48" spans="2:22" ht="15" thickBot="1" x14ac:dyDescent="0.35">
      <c r="B48" s="56"/>
      <c r="C48" s="56"/>
      <c r="D48" s="57"/>
      <c r="E48" s="16">
        <v>0</v>
      </c>
      <c r="F48" s="11">
        <v>0</v>
      </c>
      <c r="G48" s="11">
        <v>1</v>
      </c>
      <c r="H48" s="17">
        <v>547.67999999999995</v>
      </c>
      <c r="I48" s="16">
        <v>-2.7529200000000031E-2</v>
      </c>
      <c r="J48" s="11">
        <v>1.6040700000000001E-2</v>
      </c>
      <c r="K48" s="11">
        <v>0.99926740000000014</v>
      </c>
      <c r="L48" s="17">
        <v>526.88759000000005</v>
      </c>
      <c r="O48" s="68"/>
      <c r="P48" s="63"/>
      <c r="Q48" s="63"/>
      <c r="R48" s="60"/>
      <c r="S48" s="18">
        <v>0</v>
      </c>
      <c r="T48" s="19">
        <v>0</v>
      </c>
      <c r="U48" s="19">
        <v>0</v>
      </c>
      <c r="V48" s="20">
        <v>1</v>
      </c>
    </row>
    <row r="49" spans="2:22" x14ac:dyDescent="0.3">
      <c r="B49" s="56"/>
      <c r="C49" s="56"/>
      <c r="D49" s="57"/>
      <c r="E49" s="16">
        <v>0</v>
      </c>
      <c r="F49" s="11">
        <v>1</v>
      </c>
      <c r="G49" s="11">
        <v>0</v>
      </c>
      <c r="H49" s="17">
        <v>-160.66</v>
      </c>
      <c r="I49" s="16">
        <v>1.6264799999999999E-2</v>
      </c>
      <c r="J49" s="11">
        <v>0.99884209999999995</v>
      </c>
      <c r="K49" s="11">
        <v>-1.5708600000000003E-2</v>
      </c>
      <c r="L49" s="17">
        <v>-162.058426</v>
      </c>
      <c r="O49" s="68"/>
      <c r="P49" s="61" t="s">
        <v>3</v>
      </c>
      <c r="Q49" s="61" t="s">
        <v>4</v>
      </c>
      <c r="R49" s="58">
        <v>1</v>
      </c>
      <c r="S49" s="13">
        <v>-0.40300000000000002</v>
      </c>
      <c r="T49" s="14">
        <v>-1.7000000000000001E-2</v>
      </c>
      <c r="U49" s="40">
        <v>-0.19500000000000001</v>
      </c>
      <c r="V49" s="39">
        <v>-11.28</v>
      </c>
    </row>
    <row r="50" spans="2:22" ht="15" thickBot="1" x14ac:dyDescent="0.35">
      <c r="B50" s="56"/>
      <c r="C50" s="56"/>
      <c r="D50" s="57"/>
      <c r="E50" s="18">
        <v>0</v>
      </c>
      <c r="F50" s="19">
        <v>0</v>
      </c>
      <c r="G50" s="19">
        <v>0</v>
      </c>
      <c r="H50" s="20">
        <v>1</v>
      </c>
      <c r="I50" s="18">
        <v>0</v>
      </c>
      <c r="J50" s="19">
        <v>0</v>
      </c>
      <c r="K50" s="19">
        <v>0</v>
      </c>
      <c r="L50" s="20">
        <v>1</v>
      </c>
      <c r="O50" s="68"/>
      <c r="P50" s="62"/>
      <c r="Q50" s="62"/>
      <c r="R50" s="59"/>
      <c r="S50" s="16">
        <v>0.91500000000000004</v>
      </c>
      <c r="T50" s="11">
        <v>2.8000000000000001E-2</v>
      </c>
      <c r="U50" s="29">
        <v>-0.40300000000000002</v>
      </c>
      <c r="V50" s="17">
        <v>-9.19</v>
      </c>
    </row>
    <row r="51" spans="2:22" x14ac:dyDescent="0.3">
      <c r="B51" s="56"/>
      <c r="C51" s="56"/>
      <c r="D51" s="57">
        <v>3</v>
      </c>
      <c r="E51" s="35">
        <v>-1</v>
      </c>
      <c r="F51" s="29">
        <v>0</v>
      </c>
      <c r="G51" s="29">
        <v>0</v>
      </c>
      <c r="H51" s="36">
        <v>37.659999999999997</v>
      </c>
      <c r="I51" s="35" cm="1">
        <f t="array" ref="I51:L54">MMULT(MMULT(S13:V16,$S$25:$V$28),S77:V80)</f>
        <v>-0.99958290000000016</v>
      </c>
      <c r="J51" s="29">
        <v>5.0379999999999696E-4</v>
      </c>
      <c r="K51" s="29">
        <v>-2.994380000000002E-2</v>
      </c>
      <c r="L51" s="36">
        <v>40.397575000000003</v>
      </c>
      <c r="O51" s="68"/>
      <c r="P51" s="62"/>
      <c r="Q51" s="62"/>
      <c r="R51" s="59"/>
      <c r="S51" s="16">
        <v>3.3000000000000002E-2</v>
      </c>
      <c r="T51" s="11">
        <v>-0.999</v>
      </c>
      <c r="U51" s="11">
        <v>4.0000000000000001E-3</v>
      </c>
      <c r="V51" s="17">
        <v>239.61</v>
      </c>
    </row>
    <row r="52" spans="2:22" ht="15" thickBot="1" x14ac:dyDescent="0.35">
      <c r="B52" s="56"/>
      <c r="C52" s="56"/>
      <c r="D52" s="57"/>
      <c r="E52" s="16">
        <v>0</v>
      </c>
      <c r="F52" s="11">
        <v>0</v>
      </c>
      <c r="G52" s="11">
        <v>1</v>
      </c>
      <c r="H52" s="17">
        <v>547.67999999999995</v>
      </c>
      <c r="I52" s="16">
        <v>-2.9857200000000018E-2</v>
      </c>
      <c r="J52" s="11">
        <v>8.8803000000000007E-3</v>
      </c>
      <c r="K52" s="11">
        <v>0.99937530000000008</v>
      </c>
      <c r="L52" s="17">
        <v>528.23885400000006</v>
      </c>
      <c r="O52" s="68"/>
      <c r="P52" s="62"/>
      <c r="Q52" s="62"/>
      <c r="R52" s="60"/>
      <c r="S52" s="18">
        <v>0</v>
      </c>
      <c r="T52" s="19">
        <v>0</v>
      </c>
      <c r="U52" s="19">
        <v>0</v>
      </c>
      <c r="V52" s="20">
        <v>1</v>
      </c>
    </row>
    <row r="53" spans="2:22" x14ac:dyDescent="0.3">
      <c r="B53" s="56"/>
      <c r="C53" s="56"/>
      <c r="D53" s="57"/>
      <c r="E53" s="16">
        <v>0</v>
      </c>
      <c r="F53" s="11">
        <v>1</v>
      </c>
      <c r="G53" s="11">
        <v>0</v>
      </c>
      <c r="H53" s="17">
        <v>-160.66</v>
      </c>
      <c r="I53" s="16">
        <v>1.2810999999999986E-3</v>
      </c>
      <c r="J53" s="11">
        <v>0.99913449999999993</v>
      </c>
      <c r="K53" s="11">
        <v>-8.6736999999999995E-3</v>
      </c>
      <c r="L53" s="17">
        <v>-160.38489500000003</v>
      </c>
      <c r="O53" s="68"/>
      <c r="P53" s="62"/>
      <c r="Q53" s="62"/>
      <c r="R53" s="58">
        <v>2</v>
      </c>
      <c r="S53" s="13">
        <v>-0.42199999999999999</v>
      </c>
      <c r="T53" s="14">
        <v>-0.04</v>
      </c>
      <c r="U53" s="14">
        <v>-0.90500000000000003</v>
      </c>
      <c r="V53" s="15">
        <v>-58.82</v>
      </c>
    </row>
    <row r="54" spans="2:22" ht="15" thickBot="1" x14ac:dyDescent="0.35">
      <c r="B54" s="56"/>
      <c r="C54" s="56"/>
      <c r="D54" s="57"/>
      <c r="E54" s="41">
        <v>0</v>
      </c>
      <c r="F54" s="12">
        <v>0</v>
      </c>
      <c r="G54" s="12">
        <v>0</v>
      </c>
      <c r="H54" s="42">
        <v>1</v>
      </c>
      <c r="I54" s="41">
        <v>0</v>
      </c>
      <c r="J54" s="12">
        <v>0</v>
      </c>
      <c r="K54" s="12">
        <v>0</v>
      </c>
      <c r="L54" s="42">
        <v>1</v>
      </c>
      <c r="O54" s="68"/>
      <c r="P54" s="62"/>
      <c r="Q54" s="62"/>
      <c r="R54" s="59"/>
      <c r="S54" s="16">
        <v>0.90600000000000003</v>
      </c>
      <c r="T54" s="11">
        <v>-1.4E-2</v>
      </c>
      <c r="U54" s="11">
        <v>-0.42199999999999999</v>
      </c>
      <c r="V54" s="17">
        <v>-31.7</v>
      </c>
    </row>
    <row r="55" spans="2:22" x14ac:dyDescent="0.3">
      <c r="B55" s="56"/>
      <c r="C55" s="56"/>
      <c r="D55" s="57">
        <v>4</v>
      </c>
      <c r="E55" s="13">
        <v>-1</v>
      </c>
      <c r="F55" s="14">
        <v>0</v>
      </c>
      <c r="G55" s="14">
        <v>0</v>
      </c>
      <c r="H55" s="15">
        <v>37.659999999999997</v>
      </c>
      <c r="I55" s="13" cm="1">
        <f t="array" ref="I55:L58">MMULT(MMULT(S17:V20,$S$25:$V$28),S81:V84)</f>
        <v>-0.99950209999999995</v>
      </c>
      <c r="J55" s="14">
        <v>-7.6722000000000179E-3</v>
      </c>
      <c r="K55" s="14">
        <v>7.4530000000000429E-4</v>
      </c>
      <c r="L55" s="15">
        <v>33.427277000000004</v>
      </c>
      <c r="O55" s="68"/>
      <c r="P55" s="62"/>
      <c r="Q55" s="62"/>
      <c r="R55" s="59"/>
      <c r="S55" s="16">
        <v>5.0000000000000001E-3</v>
      </c>
      <c r="T55" s="11">
        <v>-0.999</v>
      </c>
      <c r="U55" s="11">
        <v>4.2000000000000003E-2</v>
      </c>
      <c r="V55" s="17">
        <v>241.57</v>
      </c>
    </row>
    <row r="56" spans="2:22" ht="15" thickBot="1" x14ac:dyDescent="0.35">
      <c r="B56" s="56"/>
      <c r="C56" s="56"/>
      <c r="D56" s="57"/>
      <c r="E56" s="16">
        <v>0</v>
      </c>
      <c r="F56" s="11">
        <v>0</v>
      </c>
      <c r="G56" s="11">
        <v>1</v>
      </c>
      <c r="H56" s="17">
        <v>547.67999999999995</v>
      </c>
      <c r="I56" s="16">
        <v>4.8990000000000145E-4</v>
      </c>
      <c r="J56" s="11">
        <v>4.1120599999999993E-2</v>
      </c>
      <c r="K56" s="11">
        <v>0.9993727</v>
      </c>
      <c r="L56" s="17">
        <v>528.00595499999997</v>
      </c>
      <c r="O56" s="68"/>
      <c r="P56" s="62"/>
      <c r="Q56" s="62"/>
      <c r="R56" s="60"/>
      <c r="S56" s="18">
        <v>0</v>
      </c>
      <c r="T56" s="19">
        <v>0</v>
      </c>
      <c r="U56" s="19">
        <v>0</v>
      </c>
      <c r="V56" s="20">
        <v>1</v>
      </c>
    </row>
    <row r="57" spans="2:22" x14ac:dyDescent="0.3">
      <c r="B57" s="56"/>
      <c r="C57" s="56"/>
      <c r="D57" s="57"/>
      <c r="E57" s="16">
        <v>0</v>
      </c>
      <c r="F57" s="11">
        <v>1</v>
      </c>
      <c r="G57" s="11">
        <v>0</v>
      </c>
      <c r="H57" s="17">
        <v>-160.66</v>
      </c>
      <c r="I57" s="16">
        <v>-7.5754000000000099E-3</v>
      </c>
      <c r="J57" s="11">
        <v>0.99904660000000001</v>
      </c>
      <c r="K57" s="11">
        <v>-4.1260600000000008E-2</v>
      </c>
      <c r="L57" s="17">
        <v>-162.82968400000001</v>
      </c>
      <c r="O57" s="68"/>
      <c r="P57" s="62"/>
      <c r="Q57" s="62"/>
      <c r="R57" s="58">
        <v>3</v>
      </c>
      <c r="S57" s="13">
        <v>-0.40400000000000003</v>
      </c>
      <c r="T57" s="14">
        <v>-1.2999999999999999E-2</v>
      </c>
      <c r="U57" s="14">
        <v>-0.91500000000000004</v>
      </c>
      <c r="V57" s="15">
        <v>8.5399999999999991</v>
      </c>
    </row>
    <row r="58" spans="2:22" ht="15" thickBot="1" x14ac:dyDescent="0.35">
      <c r="B58" s="56"/>
      <c r="C58" s="56"/>
      <c r="D58" s="57"/>
      <c r="E58" s="18">
        <v>0</v>
      </c>
      <c r="F58" s="19">
        <v>0</v>
      </c>
      <c r="G58" s="19">
        <v>0</v>
      </c>
      <c r="H58" s="20">
        <v>1</v>
      </c>
      <c r="I58" s="18">
        <v>0</v>
      </c>
      <c r="J58" s="19">
        <v>0</v>
      </c>
      <c r="K58" s="19">
        <v>0</v>
      </c>
      <c r="L58" s="20">
        <v>1</v>
      </c>
      <c r="O58" s="68"/>
      <c r="P58" s="62"/>
      <c r="Q58" s="62"/>
      <c r="R58" s="59"/>
      <c r="S58" s="16">
        <v>0.91500000000000004</v>
      </c>
      <c r="T58" s="11">
        <v>1.2E-2</v>
      </c>
      <c r="U58" s="11">
        <v>-0.40400000000000003</v>
      </c>
      <c r="V58" s="17">
        <v>-57.1</v>
      </c>
    </row>
    <row r="59" spans="2:22" x14ac:dyDescent="0.3">
      <c r="B59" s="56"/>
      <c r="C59" s="56"/>
      <c r="D59" s="57">
        <v>5</v>
      </c>
      <c r="E59" s="35">
        <v>-1</v>
      </c>
      <c r="F59" s="29">
        <v>0</v>
      </c>
      <c r="G59" s="29">
        <v>0</v>
      </c>
      <c r="H59" s="36">
        <v>37.659999999999997</v>
      </c>
      <c r="I59" s="35" cm="1">
        <f t="array" ref="I59:L62">MMULT(MMULT(S21:V24,$S$25:$V$28),S85:V88)</f>
        <v>-0.99396989999999996</v>
      </c>
      <c r="J59" s="29">
        <v>8.3971199999999996E-2</v>
      </c>
      <c r="K59" s="29">
        <v>7.385449999999999E-2</v>
      </c>
      <c r="L59" s="36">
        <v>42.665773999999999</v>
      </c>
      <c r="O59" s="68"/>
      <c r="P59" s="62"/>
      <c r="Q59" s="62"/>
      <c r="R59" s="59"/>
      <c r="S59" s="16">
        <v>1.6E-2</v>
      </c>
      <c r="T59" s="11">
        <v>-0.999</v>
      </c>
      <c r="U59" s="11">
        <v>8.0000000000000002E-3</v>
      </c>
      <c r="V59" s="17">
        <v>239.73</v>
      </c>
    </row>
    <row r="60" spans="2:22" ht="15" thickBot="1" x14ac:dyDescent="0.35">
      <c r="B60" s="56"/>
      <c r="C60" s="56"/>
      <c r="D60" s="57"/>
      <c r="E60" s="16">
        <v>0</v>
      </c>
      <c r="F60" s="11">
        <v>0</v>
      </c>
      <c r="G60" s="11">
        <v>1</v>
      </c>
      <c r="H60" s="17">
        <v>547.67999999999995</v>
      </c>
      <c r="I60" s="16">
        <v>9.3700199999999997E-2</v>
      </c>
      <c r="J60" s="11">
        <v>0.27402490000000002</v>
      </c>
      <c r="K60" s="11">
        <v>0.95742689999999997</v>
      </c>
      <c r="L60" s="17">
        <v>506.53844600000002</v>
      </c>
      <c r="O60" s="68"/>
      <c r="P60" s="62"/>
      <c r="Q60" s="62"/>
      <c r="R60" s="60"/>
      <c r="S60" s="18">
        <v>0</v>
      </c>
      <c r="T60" s="19">
        <v>0</v>
      </c>
      <c r="U60" s="19">
        <v>0</v>
      </c>
      <c r="V60" s="20">
        <v>1</v>
      </c>
    </row>
    <row r="61" spans="2:22" x14ac:dyDescent="0.3">
      <c r="B61" s="56"/>
      <c r="C61" s="56"/>
      <c r="D61" s="57"/>
      <c r="E61" s="16">
        <v>0</v>
      </c>
      <c r="F61" s="11">
        <v>1</v>
      </c>
      <c r="G61" s="11">
        <v>0</v>
      </c>
      <c r="H61" s="17">
        <v>-160.66</v>
      </c>
      <c r="I61" s="16">
        <v>5.9042699999999976E-2</v>
      </c>
      <c r="J61" s="11">
        <v>0.95814710000000003</v>
      </c>
      <c r="K61" s="11">
        <v>-0.28031399999999995</v>
      </c>
      <c r="L61" s="17">
        <v>-172.954376</v>
      </c>
      <c r="O61" s="68"/>
      <c r="P61" s="62"/>
      <c r="Q61" s="62"/>
      <c r="R61" s="58">
        <v>4</v>
      </c>
      <c r="S61" s="13">
        <v>-0.04</v>
      </c>
      <c r="T61" s="14">
        <v>-1.4999999999999999E-2</v>
      </c>
      <c r="U61" s="14">
        <v>-0.999</v>
      </c>
      <c r="V61" s="15">
        <v>39.92</v>
      </c>
    </row>
    <row r="62" spans="2:22" ht="15" thickBot="1" x14ac:dyDescent="0.35">
      <c r="B62" s="56"/>
      <c r="C62" s="56"/>
      <c r="D62" s="57"/>
      <c r="E62" s="41">
        <v>0</v>
      </c>
      <c r="F62" s="12">
        <v>0</v>
      </c>
      <c r="G62" s="12">
        <v>0</v>
      </c>
      <c r="H62" s="42">
        <v>1</v>
      </c>
      <c r="I62" s="41">
        <v>0</v>
      </c>
      <c r="J62" s="12">
        <v>0</v>
      </c>
      <c r="K62" s="12">
        <v>0</v>
      </c>
      <c r="L62" s="42">
        <v>1</v>
      </c>
      <c r="O62" s="68"/>
      <c r="P62" s="62"/>
      <c r="Q62" s="62"/>
      <c r="R62" s="59"/>
      <c r="S62" s="16">
        <v>0.52600000000000002</v>
      </c>
      <c r="T62" s="11">
        <v>-0.85</v>
      </c>
      <c r="U62" s="11">
        <v>-8.9999999999999993E-3</v>
      </c>
      <c r="V62" s="17">
        <v>5.72</v>
      </c>
    </row>
    <row r="63" spans="2:22" x14ac:dyDescent="0.3">
      <c r="B63" s="56" t="s">
        <v>3</v>
      </c>
      <c r="C63" s="56" t="s">
        <v>6</v>
      </c>
      <c r="D63" s="57">
        <v>1</v>
      </c>
      <c r="E63" s="13">
        <v>0</v>
      </c>
      <c r="F63" s="14">
        <v>0</v>
      </c>
      <c r="G63" s="14">
        <v>1</v>
      </c>
      <c r="H63" s="15">
        <v>1.66</v>
      </c>
      <c r="I63" s="13" cm="1">
        <f t="array" ref="I63:L66">MMULT(MMULT(S5:V8,$S$25:$V$28),S89:V92)</f>
        <v>-1.4576799999999997E-2</v>
      </c>
      <c r="J63" s="14">
        <v>4.6681000000000077E-2</v>
      </c>
      <c r="K63" s="14">
        <v>0.99885170000000001</v>
      </c>
      <c r="L63" s="15">
        <v>4.0216679999999982</v>
      </c>
      <c r="O63" s="68"/>
      <c r="P63" s="62"/>
      <c r="Q63" s="62"/>
      <c r="R63" s="59"/>
      <c r="S63" s="16">
        <v>-0.84899999999999998</v>
      </c>
      <c r="T63" s="11">
        <v>-0.52600000000000002</v>
      </c>
      <c r="U63" s="11">
        <v>4.2000000000000003E-2</v>
      </c>
      <c r="V63" s="17">
        <v>241.92</v>
      </c>
    </row>
    <row r="64" spans="2:22" ht="15" thickBot="1" x14ac:dyDescent="0.35">
      <c r="B64" s="56"/>
      <c r="C64" s="56"/>
      <c r="D64" s="57"/>
      <c r="E64" s="16">
        <v>0</v>
      </c>
      <c r="F64" s="11">
        <v>-1</v>
      </c>
      <c r="G64" s="11">
        <v>0</v>
      </c>
      <c r="H64" s="17">
        <v>547.67999999999995</v>
      </c>
      <c r="I64" s="16">
        <v>9.5793999999999983E-3</v>
      </c>
      <c r="J64" s="11">
        <v>-0.99852919999999989</v>
      </c>
      <c r="K64" s="11">
        <v>4.6708700000000061E-2</v>
      </c>
      <c r="L64" s="17">
        <v>526.40550400000006</v>
      </c>
      <c r="O64" s="68"/>
      <c r="P64" s="62"/>
      <c r="Q64" s="62"/>
      <c r="R64" s="60"/>
      <c r="S64" s="18">
        <v>0</v>
      </c>
      <c r="T64" s="19">
        <v>0</v>
      </c>
      <c r="U64" s="19">
        <v>0</v>
      </c>
      <c r="V64" s="20">
        <v>1</v>
      </c>
    </row>
    <row r="65" spans="2:22" x14ac:dyDescent="0.3">
      <c r="B65" s="56"/>
      <c r="C65" s="56"/>
      <c r="D65" s="57"/>
      <c r="E65" s="16">
        <v>1</v>
      </c>
      <c r="F65" s="11">
        <v>0</v>
      </c>
      <c r="G65" s="11">
        <v>0</v>
      </c>
      <c r="H65" s="17">
        <v>-171.76</v>
      </c>
      <c r="I65" s="16">
        <v>0.99036060000000004</v>
      </c>
      <c r="J65" s="11">
        <v>1.0425E-2</v>
      </c>
      <c r="K65" s="11">
        <v>1.3855099999999995E-2</v>
      </c>
      <c r="L65" s="17">
        <v>-160.04441400000002</v>
      </c>
      <c r="O65" s="68"/>
      <c r="P65" s="62"/>
      <c r="Q65" s="62"/>
      <c r="R65" s="58">
        <v>5</v>
      </c>
      <c r="S65" s="13">
        <v>-0.499</v>
      </c>
      <c r="T65" s="14">
        <v>0.86399999999999999</v>
      </c>
      <c r="U65" s="14">
        <v>5.8999999999999997E-2</v>
      </c>
      <c r="V65" s="15">
        <v>41.45</v>
      </c>
    </row>
    <row r="66" spans="2:22" ht="15" thickBot="1" x14ac:dyDescent="0.35">
      <c r="B66" s="56"/>
      <c r="C66" s="56"/>
      <c r="D66" s="57"/>
      <c r="E66" s="18">
        <v>0</v>
      </c>
      <c r="F66" s="19">
        <v>0</v>
      </c>
      <c r="G66" s="19">
        <v>0</v>
      </c>
      <c r="H66" s="20">
        <v>1</v>
      </c>
      <c r="I66" s="18">
        <v>0</v>
      </c>
      <c r="J66" s="19">
        <v>0</v>
      </c>
      <c r="K66" s="19">
        <v>0</v>
      </c>
      <c r="L66" s="20">
        <v>1</v>
      </c>
      <c r="O66" s="68"/>
      <c r="P66" s="62"/>
      <c r="Q66" s="62"/>
      <c r="R66" s="59"/>
      <c r="S66" s="16">
        <v>0.79200000000000004</v>
      </c>
      <c r="T66" s="11">
        <v>0.42799999999999999</v>
      </c>
      <c r="U66" s="11">
        <v>0.437</v>
      </c>
      <c r="V66" s="17">
        <v>-23.26</v>
      </c>
    </row>
    <row r="67" spans="2:22" x14ac:dyDescent="0.3">
      <c r="B67" s="56"/>
      <c r="C67" s="56"/>
      <c r="D67" s="57">
        <v>2</v>
      </c>
      <c r="E67" s="35">
        <v>0</v>
      </c>
      <c r="F67" s="29">
        <v>0</v>
      </c>
      <c r="G67" s="29">
        <v>1</v>
      </c>
      <c r="H67" s="36">
        <v>1.66</v>
      </c>
      <c r="I67" s="35" cm="1">
        <f t="array" ref="I67:L70">MMULT(MMULT(S9:V12,$S$25:$V$28),S93:V96)</f>
        <v>3.9102999999999999E-2</v>
      </c>
      <c r="J67" s="29">
        <v>2.6928199999999982E-2</v>
      </c>
      <c r="K67" s="29">
        <v>0.99881050000000005</v>
      </c>
      <c r="L67" s="36">
        <v>2.7698352000000028</v>
      </c>
      <c r="O67" s="68"/>
      <c r="P67" s="62"/>
      <c r="Q67" s="62"/>
      <c r="R67" s="59"/>
      <c r="S67" s="16">
        <v>0.35199999999999998</v>
      </c>
      <c r="T67" s="11">
        <v>0.26500000000000001</v>
      </c>
      <c r="U67" s="11">
        <v>-0.89800000000000002</v>
      </c>
      <c r="V67" s="17">
        <v>148.28</v>
      </c>
    </row>
    <row r="68" spans="2:22" ht="15" thickBot="1" x14ac:dyDescent="0.35">
      <c r="B68" s="56"/>
      <c r="C68" s="56"/>
      <c r="D68" s="57"/>
      <c r="E68" s="16">
        <v>0</v>
      </c>
      <c r="F68" s="11">
        <v>-1</v>
      </c>
      <c r="G68" s="11">
        <v>0</v>
      </c>
      <c r="H68" s="17">
        <v>547.67999999999995</v>
      </c>
      <c r="I68" s="16">
        <v>4.4450700000000003E-2</v>
      </c>
      <c r="J68" s="11">
        <v>-0.99861430000000007</v>
      </c>
      <c r="K68" s="11">
        <v>2.513919999999999E-2</v>
      </c>
      <c r="L68" s="17">
        <v>525.88479040000004</v>
      </c>
      <c r="O68" s="68"/>
      <c r="P68" s="63"/>
      <c r="Q68" s="63"/>
      <c r="R68" s="60"/>
      <c r="S68" s="18">
        <v>0</v>
      </c>
      <c r="T68" s="19">
        <v>0</v>
      </c>
      <c r="U68" s="19">
        <v>0</v>
      </c>
      <c r="V68" s="20">
        <v>1</v>
      </c>
    </row>
    <row r="69" spans="2:22" x14ac:dyDescent="0.3">
      <c r="B69" s="56"/>
      <c r="C69" s="56"/>
      <c r="D69" s="57"/>
      <c r="E69" s="16">
        <v>1</v>
      </c>
      <c r="F69" s="11">
        <v>0</v>
      </c>
      <c r="G69" s="11">
        <v>0</v>
      </c>
      <c r="H69" s="17">
        <v>-171.76</v>
      </c>
      <c r="I69" s="16">
        <v>0.99829369999999995</v>
      </c>
      <c r="J69" s="11">
        <v>4.2724299999999993E-2</v>
      </c>
      <c r="K69" s="11">
        <v>-4.1247500000000006E-2</v>
      </c>
      <c r="L69" s="17">
        <v>-170.00378079999999</v>
      </c>
      <c r="O69" s="68"/>
      <c r="P69" s="61" t="s">
        <v>3</v>
      </c>
      <c r="Q69" s="61" t="s">
        <v>5</v>
      </c>
      <c r="R69" s="58">
        <v>1</v>
      </c>
      <c r="S69" s="13">
        <v>-0.39900000000000002</v>
      </c>
      <c r="T69" s="14">
        <v>1.7000000000000001E-2</v>
      </c>
      <c r="U69" s="14">
        <v>-0.91600000000000004</v>
      </c>
      <c r="V69" s="15">
        <v>-16.07</v>
      </c>
    </row>
    <row r="70" spans="2:22" ht="15" thickBot="1" x14ac:dyDescent="0.35">
      <c r="B70" s="56"/>
      <c r="C70" s="56"/>
      <c r="D70" s="57"/>
      <c r="E70" s="41">
        <v>0</v>
      </c>
      <c r="F70" s="12">
        <v>0</v>
      </c>
      <c r="G70" s="12">
        <v>0</v>
      </c>
      <c r="H70" s="42">
        <v>1</v>
      </c>
      <c r="I70" s="41">
        <v>0</v>
      </c>
      <c r="J70" s="12">
        <v>0</v>
      </c>
      <c r="K70" s="12">
        <v>0</v>
      </c>
      <c r="L70" s="42">
        <v>1</v>
      </c>
      <c r="O70" s="68"/>
      <c r="P70" s="62"/>
      <c r="Q70" s="62"/>
      <c r="R70" s="59"/>
      <c r="S70" s="16">
        <v>0.91700000000000004</v>
      </c>
      <c r="T70" s="11">
        <v>1.2999999999999999E-2</v>
      </c>
      <c r="U70" s="11">
        <v>-0.39900000000000002</v>
      </c>
      <c r="V70" s="17">
        <v>3.54</v>
      </c>
    </row>
    <row r="71" spans="2:22" x14ac:dyDescent="0.3">
      <c r="B71" s="56"/>
      <c r="C71" s="56"/>
      <c r="D71" s="57">
        <v>3</v>
      </c>
      <c r="E71" s="13">
        <v>0</v>
      </c>
      <c r="F71" s="14">
        <v>0</v>
      </c>
      <c r="G71" s="14">
        <v>1</v>
      </c>
      <c r="H71" s="15">
        <v>1.66</v>
      </c>
      <c r="I71" s="13" cm="1">
        <f t="array" ref="I71:L74">MMULT(MMULT(S13:V16,$S$25:$V$28),S97:V100)</f>
        <v>2.56936E-2</v>
      </c>
      <c r="J71" s="14">
        <v>3.3243800000000032E-2</v>
      </c>
      <c r="K71" s="14">
        <v>0.99880720000000012</v>
      </c>
      <c r="L71" s="15">
        <v>3.7636090000000002</v>
      </c>
      <c r="O71" s="68"/>
      <c r="P71" s="62"/>
      <c r="Q71" s="62"/>
      <c r="R71" s="59"/>
      <c r="S71" s="16">
        <v>5.0000000000000001E-3</v>
      </c>
      <c r="T71" s="11">
        <v>-0.999</v>
      </c>
      <c r="U71" s="11">
        <v>-2.1000000000000001E-2</v>
      </c>
      <c r="V71" s="17">
        <v>240.68</v>
      </c>
    </row>
    <row r="72" spans="2:22" ht="15" thickBot="1" x14ac:dyDescent="0.35">
      <c r="B72" s="56"/>
      <c r="C72" s="56"/>
      <c r="D72" s="57"/>
      <c r="E72" s="16">
        <v>0</v>
      </c>
      <c r="F72" s="11">
        <v>-1</v>
      </c>
      <c r="G72" s="11">
        <v>0</v>
      </c>
      <c r="H72" s="17">
        <v>547.67999999999995</v>
      </c>
      <c r="I72" s="16">
        <v>4.4837700000000001E-2</v>
      </c>
      <c r="J72" s="11">
        <v>-0.99788850000000007</v>
      </c>
      <c r="K72" s="11">
        <v>3.2837899999999996E-2</v>
      </c>
      <c r="L72" s="17">
        <v>526.83913500000006</v>
      </c>
      <c r="O72" s="68"/>
      <c r="P72" s="62"/>
      <c r="Q72" s="62"/>
      <c r="R72" s="60"/>
      <c r="S72" s="41">
        <v>0</v>
      </c>
      <c r="T72" s="12">
        <v>0</v>
      </c>
      <c r="U72" s="12">
        <v>0</v>
      </c>
      <c r="V72" s="42">
        <v>1</v>
      </c>
    </row>
    <row r="73" spans="2:22" x14ac:dyDescent="0.3">
      <c r="B73" s="56"/>
      <c r="C73" s="56"/>
      <c r="D73" s="57"/>
      <c r="E73" s="16">
        <v>1</v>
      </c>
      <c r="F73" s="11">
        <v>0</v>
      </c>
      <c r="G73" s="11">
        <v>0</v>
      </c>
      <c r="H73" s="17">
        <v>-171.76</v>
      </c>
      <c r="I73" s="16">
        <v>0.99850729999999999</v>
      </c>
      <c r="J73" s="11">
        <v>4.4618499999999998E-2</v>
      </c>
      <c r="K73" s="11">
        <v>-2.72921E-2</v>
      </c>
      <c r="L73" s="17">
        <v>-171.33849599999999</v>
      </c>
      <c r="O73" s="68"/>
      <c r="P73" s="62"/>
      <c r="Q73" s="62"/>
      <c r="R73" s="58">
        <v>2</v>
      </c>
      <c r="S73" s="13">
        <v>-0.39600000000000002</v>
      </c>
      <c r="T73" s="14">
        <v>-8.9999999999999993E-3</v>
      </c>
      <c r="U73" s="14">
        <v>-0.91800000000000004</v>
      </c>
      <c r="V73" s="15">
        <v>-63.82</v>
      </c>
    </row>
    <row r="74" spans="2:22" ht="15" thickBot="1" x14ac:dyDescent="0.35">
      <c r="B74" s="56"/>
      <c r="C74" s="56"/>
      <c r="D74" s="57"/>
      <c r="E74" s="18">
        <v>0</v>
      </c>
      <c r="F74" s="19">
        <v>0</v>
      </c>
      <c r="G74" s="19">
        <v>0</v>
      </c>
      <c r="H74" s="20">
        <v>1</v>
      </c>
      <c r="I74" s="18">
        <v>0</v>
      </c>
      <c r="J74" s="19">
        <v>0</v>
      </c>
      <c r="K74" s="19">
        <v>0</v>
      </c>
      <c r="L74" s="20">
        <v>1</v>
      </c>
      <c r="O74" s="68"/>
      <c r="P74" s="62"/>
      <c r="Q74" s="62"/>
      <c r="R74" s="59"/>
      <c r="S74" s="16">
        <v>0.91800000000000004</v>
      </c>
      <c r="T74" s="11">
        <v>-4.0000000000000001E-3</v>
      </c>
      <c r="U74" s="11">
        <v>-0.39600000000000002</v>
      </c>
      <c r="V74" s="17">
        <v>-19.190000000000001</v>
      </c>
    </row>
    <row r="75" spans="2:22" x14ac:dyDescent="0.3">
      <c r="B75" s="56"/>
      <c r="C75" s="56"/>
      <c r="D75" s="57">
        <v>4</v>
      </c>
      <c r="E75" s="35">
        <v>0</v>
      </c>
      <c r="F75" s="29">
        <v>0</v>
      </c>
      <c r="G75" s="29">
        <v>1</v>
      </c>
      <c r="H75" s="36">
        <v>1.66</v>
      </c>
      <c r="I75" s="35" cm="1">
        <f t="array" ref="I75:L78">MMULT(MMULT(S17:V20,$S$25:$V$28),S101:V104)</f>
        <v>7.0559900000000009E-2</v>
      </c>
      <c r="J75" s="29">
        <v>0.98627240000000005</v>
      </c>
      <c r="K75" s="29">
        <v>4.5998800000000006E-2</v>
      </c>
      <c r="L75" s="36">
        <v>-2.015704999999997</v>
      </c>
      <c r="O75" s="68"/>
      <c r="P75" s="62"/>
      <c r="Q75" s="62"/>
      <c r="R75" s="59"/>
      <c r="S75" s="16">
        <v>0</v>
      </c>
      <c r="T75" s="11">
        <v>-0.999</v>
      </c>
      <c r="U75" s="11">
        <v>0.01</v>
      </c>
      <c r="V75" s="17">
        <v>242.28</v>
      </c>
    </row>
    <row r="76" spans="2:22" ht="15" thickBot="1" x14ac:dyDescent="0.35">
      <c r="B76" s="56"/>
      <c r="C76" s="56"/>
      <c r="D76" s="57"/>
      <c r="E76" s="16">
        <v>0</v>
      </c>
      <c r="F76" s="11">
        <v>-1</v>
      </c>
      <c r="G76" s="11">
        <v>0</v>
      </c>
      <c r="H76" s="17">
        <v>547.67999999999995</v>
      </c>
      <c r="I76" s="16">
        <v>1.3258300000000004E-2</v>
      </c>
      <c r="J76" s="11">
        <v>0.15275830000000001</v>
      </c>
      <c r="K76" s="11">
        <v>0.99887939999999997</v>
      </c>
      <c r="L76" s="17">
        <v>528.05981799999995</v>
      </c>
      <c r="O76" s="68"/>
      <c r="P76" s="62"/>
      <c r="Q76" s="62"/>
      <c r="R76" s="60"/>
      <c r="S76" s="18">
        <v>0</v>
      </c>
      <c r="T76" s="19">
        <v>0</v>
      </c>
      <c r="U76" s="19">
        <v>0</v>
      </c>
      <c r="V76" s="20">
        <v>1</v>
      </c>
    </row>
    <row r="77" spans="2:22" x14ac:dyDescent="0.3">
      <c r="B77" s="56"/>
      <c r="C77" s="56"/>
      <c r="D77" s="57"/>
      <c r="E77" s="16">
        <v>1</v>
      </c>
      <c r="F77" s="11">
        <v>0</v>
      </c>
      <c r="G77" s="11">
        <v>0</v>
      </c>
      <c r="H77" s="17">
        <v>-171.76</v>
      </c>
      <c r="I77" s="16">
        <v>0.99690619999999996</v>
      </c>
      <c r="J77" s="11">
        <v>-7.0215000000000027E-2</v>
      </c>
      <c r="K77" s="11">
        <v>-1.6543099999999998E-2</v>
      </c>
      <c r="L77" s="17">
        <v>-174.23582500000001</v>
      </c>
      <c r="O77" s="68"/>
      <c r="P77" s="62"/>
      <c r="Q77" s="62"/>
      <c r="R77" s="58">
        <v>3</v>
      </c>
      <c r="S77" s="35">
        <v>-0.39400000000000002</v>
      </c>
      <c r="T77" s="29">
        <v>-8.9999999999999993E-3</v>
      </c>
      <c r="U77" s="29">
        <v>-0.91900000000000004</v>
      </c>
      <c r="V77" s="36">
        <v>3.76</v>
      </c>
    </row>
    <row r="78" spans="2:22" ht="15" thickBot="1" x14ac:dyDescent="0.35">
      <c r="B78" s="56"/>
      <c r="C78" s="56"/>
      <c r="D78" s="57"/>
      <c r="E78" s="41">
        <v>0</v>
      </c>
      <c r="F78" s="12">
        <v>0</v>
      </c>
      <c r="G78" s="12">
        <v>0</v>
      </c>
      <c r="H78" s="42">
        <v>1</v>
      </c>
      <c r="I78" s="41">
        <v>0</v>
      </c>
      <c r="J78" s="12">
        <v>0</v>
      </c>
      <c r="K78" s="12">
        <v>0</v>
      </c>
      <c r="L78" s="42">
        <v>1</v>
      </c>
      <c r="O78" s="68"/>
      <c r="P78" s="62"/>
      <c r="Q78" s="62"/>
      <c r="R78" s="59"/>
      <c r="S78" s="16">
        <v>0.91900000000000004</v>
      </c>
      <c r="T78" s="11">
        <v>1.2999999999999999E-2</v>
      </c>
      <c r="U78" s="11">
        <v>-0.39400000000000002</v>
      </c>
      <c r="V78" s="17">
        <v>-44.49</v>
      </c>
    </row>
    <row r="79" spans="2:22" x14ac:dyDescent="0.3">
      <c r="B79" s="56"/>
      <c r="C79" s="56"/>
      <c r="D79" s="57">
        <v>5</v>
      </c>
      <c r="E79" s="13">
        <v>0</v>
      </c>
      <c r="F79" s="14">
        <v>0</v>
      </c>
      <c r="G79" s="14">
        <v>1</v>
      </c>
      <c r="H79" s="15">
        <v>1.66</v>
      </c>
      <c r="I79" s="13" cm="1">
        <f t="array" ref="I79:L82">MMULT(MMULT(S21:V24,$S$25:$V$28),S105:V108)</f>
        <v>-0.22240779999999999</v>
      </c>
      <c r="J79" s="14">
        <v>0.72975240000000008</v>
      </c>
      <c r="K79" s="14">
        <v>-0.64684370000000002</v>
      </c>
      <c r="L79" s="15">
        <v>15.788599999999995</v>
      </c>
      <c r="O79" s="68"/>
      <c r="P79" s="62"/>
      <c r="Q79" s="62"/>
      <c r="R79" s="59"/>
      <c r="S79" s="16">
        <v>1.4999999999999999E-2</v>
      </c>
      <c r="T79" s="11">
        <v>-0.999</v>
      </c>
      <c r="U79" s="11">
        <v>3.0000000000000001E-3</v>
      </c>
      <c r="V79" s="17">
        <v>240.15</v>
      </c>
    </row>
    <row r="80" spans="2:22" ht="15" thickBot="1" x14ac:dyDescent="0.35">
      <c r="B80" s="56"/>
      <c r="C80" s="56"/>
      <c r="D80" s="57"/>
      <c r="E80" s="16">
        <v>0</v>
      </c>
      <c r="F80" s="11">
        <v>-1</v>
      </c>
      <c r="G80" s="11">
        <v>0</v>
      </c>
      <c r="H80" s="17">
        <v>547.67999999999995</v>
      </c>
      <c r="I80" s="16">
        <v>0.85580469999999997</v>
      </c>
      <c r="J80" s="11">
        <v>-0.17077060000000005</v>
      </c>
      <c r="K80" s="11">
        <v>-0.48711190000000004</v>
      </c>
      <c r="L80" s="17">
        <v>438.35986400000002</v>
      </c>
      <c r="O80" s="68"/>
      <c r="P80" s="62"/>
      <c r="Q80" s="62"/>
      <c r="R80" s="60"/>
      <c r="S80" s="18">
        <v>0</v>
      </c>
      <c r="T80" s="19">
        <v>0</v>
      </c>
      <c r="U80" s="19">
        <v>0</v>
      </c>
      <c r="V80" s="20">
        <v>1</v>
      </c>
    </row>
    <row r="81" spans="2:22" x14ac:dyDescent="0.3">
      <c r="B81" s="56"/>
      <c r="C81" s="56"/>
      <c r="D81" s="57"/>
      <c r="E81" s="16">
        <v>1</v>
      </c>
      <c r="F81" s="11">
        <v>0</v>
      </c>
      <c r="G81" s="11">
        <v>0</v>
      </c>
      <c r="H81" s="17">
        <v>-171.76</v>
      </c>
      <c r="I81" s="16">
        <v>-0.46618690000000002</v>
      </c>
      <c r="J81" s="11">
        <v>-0.6613777999999999</v>
      </c>
      <c r="K81" s="11">
        <v>-0.58663339999999997</v>
      </c>
      <c r="L81" s="17">
        <v>-197.601248</v>
      </c>
      <c r="O81" s="68"/>
      <c r="P81" s="62"/>
      <c r="Q81" s="62"/>
      <c r="R81" s="58">
        <v>4</v>
      </c>
      <c r="S81" s="13">
        <v>-5.3999999999999999E-2</v>
      </c>
      <c r="T81" s="14">
        <v>-3.7999999999999999E-2</v>
      </c>
      <c r="U81" s="14">
        <v>-0.998</v>
      </c>
      <c r="V81" s="15">
        <v>39.96</v>
      </c>
    </row>
    <row r="82" spans="2:22" ht="15" thickBot="1" x14ac:dyDescent="0.35">
      <c r="B82" s="56"/>
      <c r="C82" s="56"/>
      <c r="D82" s="57"/>
      <c r="E82" s="18">
        <v>0</v>
      </c>
      <c r="F82" s="19">
        <v>0</v>
      </c>
      <c r="G82" s="19">
        <v>0</v>
      </c>
      <c r="H82" s="20">
        <v>1</v>
      </c>
      <c r="I82" s="18">
        <v>0</v>
      </c>
      <c r="J82" s="19">
        <v>0</v>
      </c>
      <c r="K82" s="19">
        <v>0</v>
      </c>
      <c r="L82" s="20">
        <v>1</v>
      </c>
      <c r="O82" s="68"/>
      <c r="P82" s="62"/>
      <c r="Q82" s="62"/>
      <c r="R82" s="59"/>
      <c r="S82" s="16">
        <v>0.53900000000000003</v>
      </c>
      <c r="T82" s="11">
        <v>-0.84199999999999997</v>
      </c>
      <c r="U82" s="11">
        <v>3.0000000000000001E-3</v>
      </c>
      <c r="V82" s="17">
        <v>12.47</v>
      </c>
    </row>
    <row r="83" spans="2:22" x14ac:dyDescent="0.3">
      <c r="B83" s="56" t="s">
        <v>15</v>
      </c>
      <c r="C83" s="56" t="s">
        <v>2</v>
      </c>
      <c r="D83" s="57">
        <v>1</v>
      </c>
      <c r="E83" s="35">
        <v>0</v>
      </c>
      <c r="F83" s="29">
        <v>0</v>
      </c>
      <c r="G83" s="29">
        <v>-1</v>
      </c>
      <c r="H83" s="36">
        <v>1.66</v>
      </c>
      <c r="I83" s="35" cm="1">
        <f t="array" ref="I83:L86">MMULT(MMULT(S5:V8,$S$25:$V$28),S109:V112)</f>
        <v>7.5494999999999573E-3</v>
      </c>
      <c r="J83" s="45">
        <v>-1.4134000000000001E-2</v>
      </c>
      <c r="K83" s="45">
        <v>-0.99953759999999992</v>
      </c>
      <c r="L83" s="46">
        <v>5.3440429999999921</v>
      </c>
      <c r="O83" s="68"/>
      <c r="P83" s="62"/>
      <c r="Q83" s="62"/>
      <c r="R83" s="59"/>
      <c r="S83" s="16">
        <v>-0.84</v>
      </c>
      <c r="T83" s="11">
        <v>-0.53800000000000003</v>
      </c>
      <c r="U83" s="11">
        <v>6.6000000000000003E-2</v>
      </c>
      <c r="V83" s="17">
        <v>227.94</v>
      </c>
    </row>
    <row r="84" spans="2:22" ht="15" thickBot="1" x14ac:dyDescent="0.35">
      <c r="B84" s="56"/>
      <c r="C84" s="56"/>
      <c r="D84" s="57"/>
      <c r="E84" s="16">
        <v>1</v>
      </c>
      <c r="F84" s="11">
        <v>0</v>
      </c>
      <c r="G84" s="11">
        <v>0</v>
      </c>
      <c r="H84" s="17">
        <v>520.75</v>
      </c>
      <c r="I84" s="43">
        <v>1.0005967999999998</v>
      </c>
      <c r="J84" s="1">
        <v>-7.4855E-3</v>
      </c>
      <c r="K84" s="1">
        <v>8.0827999999999543E-3</v>
      </c>
      <c r="L84" s="2">
        <v>500.55618300000009</v>
      </c>
      <c r="O84" s="68"/>
      <c r="P84" s="62"/>
      <c r="Q84" s="62"/>
      <c r="R84" s="60"/>
      <c r="S84" s="18">
        <v>0</v>
      </c>
      <c r="T84" s="19">
        <v>0</v>
      </c>
      <c r="U84" s="19">
        <v>0</v>
      </c>
      <c r="V84" s="20">
        <v>1</v>
      </c>
    </row>
    <row r="85" spans="2:22" x14ac:dyDescent="0.3">
      <c r="B85" s="56"/>
      <c r="C85" s="56"/>
      <c r="D85" s="57"/>
      <c r="E85" s="16">
        <v>0</v>
      </c>
      <c r="F85" s="11">
        <v>-1</v>
      </c>
      <c r="G85" s="11">
        <v>0</v>
      </c>
      <c r="H85" s="17">
        <v>-164.76</v>
      </c>
      <c r="I85" s="43">
        <v>-8.2983999999999992E-3</v>
      </c>
      <c r="J85" s="1">
        <v>-0.99891929999999995</v>
      </c>
      <c r="K85" s="1">
        <v>1.4823000000000001E-2</v>
      </c>
      <c r="L85" s="2">
        <v>-164.95676900000001</v>
      </c>
      <c r="O85" s="68"/>
      <c r="P85" s="62"/>
      <c r="Q85" s="62"/>
      <c r="R85" s="58">
        <v>5</v>
      </c>
      <c r="S85" s="35">
        <v>-0.59199999999999997</v>
      </c>
      <c r="T85" s="29">
        <v>0.249</v>
      </c>
      <c r="U85" s="29">
        <v>-0.76700000000000002</v>
      </c>
      <c r="V85" s="36">
        <v>41.32</v>
      </c>
    </row>
    <row r="86" spans="2:22" ht="15" thickBot="1" x14ac:dyDescent="0.35">
      <c r="B86" s="56"/>
      <c r="C86" s="56"/>
      <c r="D86" s="57"/>
      <c r="E86" s="41">
        <v>0</v>
      </c>
      <c r="F86" s="12">
        <v>0</v>
      </c>
      <c r="G86" s="12">
        <v>0</v>
      </c>
      <c r="H86" s="42">
        <v>1</v>
      </c>
      <c r="I86" s="47">
        <v>0</v>
      </c>
      <c r="J86" s="48">
        <v>0</v>
      </c>
      <c r="K86" s="48">
        <v>0</v>
      </c>
      <c r="L86" s="49">
        <v>1</v>
      </c>
      <c r="O86" s="68"/>
      <c r="P86" s="62"/>
      <c r="Q86" s="62"/>
      <c r="R86" s="59"/>
      <c r="S86" s="16">
        <v>0.79600000000000004</v>
      </c>
      <c r="T86" s="11">
        <v>0.32900000000000001</v>
      </c>
      <c r="U86" s="11">
        <v>-0.50800000000000001</v>
      </c>
      <c r="V86" s="17">
        <v>-16.309999999999999</v>
      </c>
    </row>
    <row r="87" spans="2:22" x14ac:dyDescent="0.3">
      <c r="B87" s="56"/>
      <c r="C87" s="56"/>
      <c r="D87" s="57">
        <v>2</v>
      </c>
      <c r="E87" s="13">
        <v>0</v>
      </c>
      <c r="F87" s="14">
        <v>0</v>
      </c>
      <c r="G87" s="14">
        <v>-1</v>
      </c>
      <c r="H87" s="15">
        <v>1.66</v>
      </c>
      <c r="I87" s="13" cm="1">
        <f t="array" ref="I87:L90">MMULT(MMULT(S9:V12,$S$25:$V$28),S113:V116)</f>
        <v>5.0068999999999912E-3</v>
      </c>
      <c r="J87" s="5">
        <v>5.8321899999999996E-2</v>
      </c>
      <c r="K87" s="5">
        <v>-0.99824170000000001</v>
      </c>
      <c r="L87" s="4">
        <v>4.6668510000000012</v>
      </c>
      <c r="O87" s="68"/>
      <c r="P87" s="62"/>
      <c r="Q87" s="62"/>
      <c r="R87" s="59"/>
      <c r="S87" s="16">
        <v>0.127</v>
      </c>
      <c r="T87" s="11">
        <v>-0.91100000000000003</v>
      </c>
      <c r="U87" s="11">
        <v>-0.39300000000000002</v>
      </c>
      <c r="V87" s="17">
        <v>166.17</v>
      </c>
    </row>
    <row r="88" spans="2:22" ht="15" thickBot="1" x14ac:dyDescent="0.35">
      <c r="B88" s="56"/>
      <c r="C88" s="56"/>
      <c r="D88" s="57"/>
      <c r="E88" s="16">
        <v>1</v>
      </c>
      <c r="F88" s="11">
        <v>0</v>
      </c>
      <c r="G88" s="11">
        <v>0</v>
      </c>
      <c r="H88" s="17">
        <v>520.75</v>
      </c>
      <c r="I88" s="43">
        <v>0.99910140000000003</v>
      </c>
      <c r="J88" s="1">
        <v>-3.3380599999999996E-2</v>
      </c>
      <c r="K88" s="1">
        <v>2.8162999999999752E-3</v>
      </c>
      <c r="L88" s="2">
        <v>500.202361</v>
      </c>
      <c r="O88" s="68"/>
      <c r="P88" s="63"/>
      <c r="Q88" s="63"/>
      <c r="R88" s="60"/>
      <c r="S88" s="18">
        <v>0</v>
      </c>
      <c r="T88" s="19">
        <v>0</v>
      </c>
      <c r="U88" s="19">
        <v>0</v>
      </c>
      <c r="V88" s="20">
        <v>1</v>
      </c>
    </row>
    <row r="89" spans="2:22" x14ac:dyDescent="0.3">
      <c r="B89" s="56"/>
      <c r="C89" s="56"/>
      <c r="D89" s="57"/>
      <c r="E89" s="16">
        <v>0</v>
      </c>
      <c r="F89" s="11">
        <v>-1</v>
      </c>
      <c r="G89" s="11">
        <v>0</v>
      </c>
      <c r="H89" s="17">
        <v>-164.76</v>
      </c>
      <c r="I89" s="43">
        <v>-3.3239699999999997E-2</v>
      </c>
      <c r="J89" s="1">
        <v>-0.99793069999999995</v>
      </c>
      <c r="K89" s="1">
        <v>-5.7953399999999988E-2</v>
      </c>
      <c r="L89" s="2">
        <v>-164.71513200000001</v>
      </c>
      <c r="O89" s="68"/>
      <c r="P89" s="61" t="s">
        <v>3</v>
      </c>
      <c r="Q89" s="61" t="s">
        <v>6</v>
      </c>
      <c r="R89" s="58">
        <v>1</v>
      </c>
      <c r="S89" s="13">
        <v>-1.6E-2</v>
      </c>
      <c r="T89" s="14">
        <v>0.92500000000000004</v>
      </c>
      <c r="U89" s="14">
        <v>0.379</v>
      </c>
      <c r="V89" s="15">
        <v>-30.77</v>
      </c>
    </row>
    <row r="90" spans="2:22" ht="15" thickBot="1" x14ac:dyDescent="0.35">
      <c r="B90" s="56"/>
      <c r="C90" s="56"/>
      <c r="D90" s="57"/>
      <c r="E90" s="18">
        <v>0</v>
      </c>
      <c r="F90" s="19">
        <v>0</v>
      </c>
      <c r="G90" s="19">
        <v>0</v>
      </c>
      <c r="H90" s="20">
        <v>1</v>
      </c>
      <c r="I90" s="44">
        <v>0</v>
      </c>
      <c r="J90" s="6">
        <v>0</v>
      </c>
      <c r="K90" s="6">
        <v>0</v>
      </c>
      <c r="L90" s="3">
        <v>1</v>
      </c>
      <c r="O90" s="68"/>
      <c r="P90" s="62"/>
      <c r="Q90" s="62"/>
      <c r="R90" s="59"/>
      <c r="S90" s="16">
        <v>2.5999999999999999E-2</v>
      </c>
      <c r="T90" s="11">
        <v>0.379</v>
      </c>
      <c r="U90" s="11">
        <v>-0.92500000000000004</v>
      </c>
      <c r="V90" s="17">
        <v>36.869999999999997</v>
      </c>
    </row>
    <row r="91" spans="2:22" x14ac:dyDescent="0.3">
      <c r="B91" s="56"/>
      <c r="C91" s="56"/>
      <c r="D91" s="57">
        <v>3</v>
      </c>
      <c r="E91" s="35">
        <v>0</v>
      </c>
      <c r="F91" s="29">
        <v>0</v>
      </c>
      <c r="G91" s="29">
        <v>-1</v>
      </c>
      <c r="H91" s="36">
        <v>1.66</v>
      </c>
      <c r="I91" s="35" cm="1">
        <f t="array" ref="I91:L94">MMULT(MMULT(S13:V16,$S$25:$V$28),S117:V120)</f>
        <v>-0.99841290000000005</v>
      </c>
      <c r="J91" s="45">
        <v>4.8098500000000002E-2</v>
      </c>
      <c r="K91" s="45">
        <v>-5.3340000000003161E-4</v>
      </c>
      <c r="L91" s="46">
        <v>32.284832100000003</v>
      </c>
      <c r="O91" s="68"/>
      <c r="P91" s="62"/>
      <c r="Q91" s="62"/>
      <c r="R91" s="59"/>
      <c r="S91" s="16">
        <v>-0.99</v>
      </c>
      <c r="T91" s="11">
        <v>-5.0000000000000001E-3</v>
      </c>
      <c r="U91" s="11">
        <v>-0.03</v>
      </c>
      <c r="V91" s="17">
        <v>241.19</v>
      </c>
    </row>
    <row r="92" spans="2:22" ht="15" thickBot="1" x14ac:dyDescent="0.35">
      <c r="B92" s="56"/>
      <c r="C92" s="56"/>
      <c r="D92" s="57"/>
      <c r="E92" s="16">
        <v>1</v>
      </c>
      <c r="F92" s="11">
        <v>0</v>
      </c>
      <c r="G92" s="11">
        <v>0</v>
      </c>
      <c r="H92" s="17">
        <v>520.75</v>
      </c>
      <c r="I92" s="43">
        <v>3.9609999999996734E-4</v>
      </c>
      <c r="J92" s="1">
        <v>1.7762900000000002E-2</v>
      </c>
      <c r="K92" s="1">
        <v>0.99981530000000007</v>
      </c>
      <c r="L92" s="2">
        <v>527.9971137</v>
      </c>
      <c r="O92" s="68"/>
      <c r="P92" s="62"/>
      <c r="Q92" s="62"/>
      <c r="R92" s="60"/>
      <c r="S92" s="18">
        <v>0</v>
      </c>
      <c r="T92" s="19">
        <v>0</v>
      </c>
      <c r="U92" s="19">
        <v>0</v>
      </c>
      <c r="V92" s="20">
        <v>1</v>
      </c>
    </row>
    <row r="93" spans="2:22" x14ac:dyDescent="0.3">
      <c r="B93" s="56"/>
      <c r="C93" s="56"/>
      <c r="D93" s="57"/>
      <c r="E93" s="16">
        <v>0</v>
      </c>
      <c r="F93" s="11">
        <v>-1</v>
      </c>
      <c r="G93" s="11">
        <v>0</v>
      </c>
      <c r="H93" s="17">
        <v>-164.76</v>
      </c>
      <c r="I93" s="43">
        <v>4.8085199999999995E-2</v>
      </c>
      <c r="J93" s="1">
        <v>0.99331219999999998</v>
      </c>
      <c r="K93" s="1">
        <v>-1.7151699999999999E-2</v>
      </c>
      <c r="L93" s="2">
        <v>-164.93365940000001</v>
      </c>
      <c r="O93" s="68"/>
      <c r="P93" s="62"/>
      <c r="Q93" s="62"/>
      <c r="R93" s="58">
        <v>2</v>
      </c>
      <c r="S93" s="35">
        <v>-2.5000000000000001E-2</v>
      </c>
      <c r="T93" s="29">
        <v>0.91700000000000004</v>
      </c>
      <c r="U93" s="29">
        <v>0.39800000000000002</v>
      </c>
      <c r="V93" s="36">
        <v>-78.335999999999999</v>
      </c>
    </row>
    <row r="94" spans="2:22" ht="15" thickBot="1" x14ac:dyDescent="0.35">
      <c r="B94" s="56"/>
      <c r="C94" s="56"/>
      <c r="D94" s="57"/>
      <c r="E94" s="41">
        <v>0</v>
      </c>
      <c r="F94" s="12">
        <v>0</v>
      </c>
      <c r="G94" s="12">
        <v>0</v>
      </c>
      <c r="H94" s="42">
        <v>1</v>
      </c>
      <c r="I94" s="47">
        <v>0</v>
      </c>
      <c r="J94" s="48">
        <v>0</v>
      </c>
      <c r="K94" s="48">
        <v>0</v>
      </c>
      <c r="L94" s="49">
        <v>1</v>
      </c>
      <c r="O94" s="68"/>
      <c r="P94" s="62"/>
      <c r="Q94" s="62"/>
      <c r="R94" s="59"/>
      <c r="S94" s="16">
        <v>-3.6999999999999998E-2</v>
      </c>
      <c r="T94" s="11">
        <v>0.39700000000000002</v>
      </c>
      <c r="U94" s="11">
        <v>-0.91700000000000004</v>
      </c>
      <c r="V94" s="17">
        <v>14.32</v>
      </c>
    </row>
    <row r="95" spans="2:22" x14ac:dyDescent="0.3">
      <c r="B95" s="56"/>
      <c r="C95" s="56"/>
      <c r="D95" s="57">
        <v>4</v>
      </c>
      <c r="E95" s="13">
        <v>0</v>
      </c>
      <c r="F95" s="14">
        <v>0</v>
      </c>
      <c r="G95" s="14">
        <v>-1</v>
      </c>
      <c r="H95" s="15">
        <v>1.66</v>
      </c>
      <c r="I95" s="13" cm="1">
        <f t="array" ref="I95:L98">MMULT(MMULT(S17:V20,$S$25:$V$28),S121:V124)</f>
        <v>-0.99237850000000005</v>
      </c>
      <c r="J95" s="5">
        <v>-0.12516050000000001</v>
      </c>
      <c r="K95" s="5">
        <v>2.077999999999941E-4</v>
      </c>
      <c r="L95" s="4">
        <v>25.678738000000038</v>
      </c>
      <c r="O95" s="68"/>
      <c r="P95" s="62"/>
      <c r="Q95" s="62"/>
      <c r="R95" s="59"/>
      <c r="S95" s="16">
        <v>-0.999</v>
      </c>
      <c r="T95" s="11">
        <v>-3.6999999999999998E-2</v>
      </c>
      <c r="U95" s="11">
        <v>2.5000000000000001E-2</v>
      </c>
      <c r="V95" s="17">
        <v>250.82</v>
      </c>
    </row>
    <row r="96" spans="2:22" ht="15" thickBot="1" x14ac:dyDescent="0.35">
      <c r="B96" s="56"/>
      <c r="C96" s="56"/>
      <c r="D96" s="57"/>
      <c r="E96" s="16">
        <v>1</v>
      </c>
      <c r="F96" s="11">
        <v>0</v>
      </c>
      <c r="G96" s="11">
        <v>0</v>
      </c>
      <c r="H96" s="17">
        <v>520.75</v>
      </c>
      <c r="I96" s="43">
        <v>-1.5560499999999998E-2</v>
      </c>
      <c r="J96" s="1">
        <v>0.10888639999999999</v>
      </c>
      <c r="K96" s="1">
        <v>0.9930696</v>
      </c>
      <c r="L96" s="2">
        <v>528.758241</v>
      </c>
      <c r="O96" s="68"/>
      <c r="P96" s="62"/>
      <c r="Q96" s="62"/>
      <c r="R96" s="60"/>
      <c r="S96" s="41">
        <v>0</v>
      </c>
      <c r="T96" s="12">
        <v>0</v>
      </c>
      <c r="U96" s="12">
        <v>0</v>
      </c>
      <c r="V96" s="42">
        <v>1</v>
      </c>
    </row>
    <row r="97" spans="2:22" x14ac:dyDescent="0.3">
      <c r="B97" s="56"/>
      <c r="C97" s="56"/>
      <c r="D97" s="57"/>
      <c r="E97" s="16">
        <v>0</v>
      </c>
      <c r="F97" s="11">
        <v>-1</v>
      </c>
      <c r="G97" s="11">
        <v>0</v>
      </c>
      <c r="H97" s="17">
        <v>-164.76</v>
      </c>
      <c r="I97" s="43">
        <v>-0.12499539999999998</v>
      </c>
      <c r="J97" s="1">
        <v>0.98541260000000008</v>
      </c>
      <c r="K97" s="1">
        <v>-0.11755560000000001</v>
      </c>
      <c r="L97" s="2">
        <v>-166.91519600000004</v>
      </c>
      <c r="O97" s="68"/>
      <c r="P97" s="62"/>
      <c r="Q97" s="62"/>
      <c r="R97" s="58">
        <v>3</v>
      </c>
      <c r="S97" s="13">
        <v>-3.1E-2</v>
      </c>
      <c r="T97" s="14">
        <v>0.91900000000000004</v>
      </c>
      <c r="U97" s="14">
        <v>0.39100000000000001</v>
      </c>
      <c r="V97" s="15">
        <v>-10.39</v>
      </c>
    </row>
    <row r="98" spans="2:22" ht="15" thickBot="1" x14ac:dyDescent="0.35">
      <c r="B98" s="56"/>
      <c r="C98" s="56"/>
      <c r="D98" s="57"/>
      <c r="E98" s="18">
        <v>0</v>
      </c>
      <c r="F98" s="19">
        <v>0</v>
      </c>
      <c r="G98" s="19">
        <v>0</v>
      </c>
      <c r="H98" s="20">
        <v>1</v>
      </c>
      <c r="I98" s="44">
        <v>0</v>
      </c>
      <c r="J98" s="6">
        <v>0</v>
      </c>
      <c r="K98" s="6">
        <v>0</v>
      </c>
      <c r="L98" s="3">
        <v>1</v>
      </c>
      <c r="O98" s="68"/>
      <c r="P98" s="62"/>
      <c r="Q98" s="62"/>
      <c r="R98" s="59"/>
      <c r="S98" s="16">
        <v>-2.5000000000000001E-2</v>
      </c>
      <c r="T98" s="11">
        <v>0.39100000000000001</v>
      </c>
      <c r="U98" s="11">
        <v>-0.92</v>
      </c>
      <c r="V98" s="17">
        <v>-10.87</v>
      </c>
    </row>
    <row r="99" spans="2:22" x14ac:dyDescent="0.3">
      <c r="B99" s="56"/>
      <c r="C99" s="56"/>
      <c r="D99" s="57">
        <v>5</v>
      </c>
      <c r="E99" s="35">
        <v>0</v>
      </c>
      <c r="F99" s="29">
        <v>0</v>
      </c>
      <c r="G99" s="29">
        <v>-1</v>
      </c>
      <c r="H99" s="36">
        <v>1.66</v>
      </c>
      <c r="I99" s="35" cm="1">
        <f t="array" ref="I99:L102">MMULT(MMULT(S21:V24,$S$25:$V$28),S125:V128)</f>
        <v>-0.22814939999999995</v>
      </c>
      <c r="J99" s="45">
        <v>0.67583690000000007</v>
      </c>
      <c r="K99" s="45">
        <v>-0.63912910000000012</v>
      </c>
      <c r="L99" s="46">
        <v>7.9730279999999993</v>
      </c>
      <c r="O99" s="68"/>
      <c r="P99" s="62"/>
      <c r="Q99" s="62"/>
      <c r="R99" s="59"/>
      <c r="S99" s="16">
        <v>-0.999</v>
      </c>
      <c r="T99" s="11">
        <v>-3.9E-2</v>
      </c>
      <c r="U99" s="11">
        <v>1.0999999999999999E-2</v>
      </c>
      <c r="V99" s="17">
        <v>251.7</v>
      </c>
    </row>
    <row r="100" spans="2:22" ht="15" thickBot="1" x14ac:dyDescent="0.35">
      <c r="B100" s="56"/>
      <c r="C100" s="56"/>
      <c r="D100" s="57"/>
      <c r="E100" s="16">
        <v>1</v>
      </c>
      <c r="F100" s="11">
        <v>0</v>
      </c>
      <c r="G100" s="11">
        <v>0</v>
      </c>
      <c r="H100" s="17">
        <v>520.75</v>
      </c>
      <c r="I100" s="43">
        <v>0.8496973000000001</v>
      </c>
      <c r="J100" s="1">
        <v>-0.19653300000000007</v>
      </c>
      <c r="K100" s="1">
        <v>-0.48945759999999999</v>
      </c>
      <c r="L100" s="2">
        <v>444.03367100000003</v>
      </c>
      <c r="O100" s="68"/>
      <c r="P100" s="62"/>
      <c r="Q100" s="62"/>
      <c r="R100" s="60"/>
      <c r="S100" s="18">
        <v>0</v>
      </c>
      <c r="T100" s="19">
        <v>0</v>
      </c>
      <c r="U100" s="19">
        <v>0</v>
      </c>
      <c r="V100" s="20">
        <v>1</v>
      </c>
    </row>
    <row r="101" spans="2:22" x14ac:dyDescent="0.3">
      <c r="B101" s="56"/>
      <c r="C101" s="56"/>
      <c r="D101" s="57"/>
      <c r="E101" s="16">
        <v>0</v>
      </c>
      <c r="F101" s="11">
        <v>-1</v>
      </c>
      <c r="G101" s="11">
        <v>0</v>
      </c>
      <c r="H101" s="17">
        <v>-164.76</v>
      </c>
      <c r="I101" s="43">
        <v>-0.43563070000000004</v>
      </c>
      <c r="J101" s="1">
        <v>-0.63457410000000003</v>
      </c>
      <c r="K101" s="1">
        <v>-0.59370350000000005</v>
      </c>
      <c r="L101" s="2">
        <v>-200.80765099999999</v>
      </c>
      <c r="O101" s="68"/>
      <c r="P101" s="62"/>
      <c r="Q101" s="62"/>
      <c r="R101" s="58">
        <v>4</v>
      </c>
      <c r="S101" s="35">
        <v>-6.0000000000000001E-3</v>
      </c>
      <c r="T101" s="29">
        <v>-0.1</v>
      </c>
      <c r="U101" s="29">
        <v>-0.995</v>
      </c>
      <c r="V101" s="36">
        <v>37.97</v>
      </c>
    </row>
    <row r="102" spans="2:22" ht="15" thickBot="1" x14ac:dyDescent="0.35">
      <c r="B102" s="56"/>
      <c r="C102" s="56"/>
      <c r="D102" s="57"/>
      <c r="E102" s="41">
        <v>0</v>
      </c>
      <c r="F102" s="12">
        <v>0</v>
      </c>
      <c r="G102" s="12">
        <v>0</v>
      </c>
      <c r="H102" s="42">
        <v>1</v>
      </c>
      <c r="I102" s="47">
        <v>0</v>
      </c>
      <c r="J102" s="48">
        <v>0</v>
      </c>
      <c r="K102" s="48">
        <v>0</v>
      </c>
      <c r="L102" s="49">
        <v>1</v>
      </c>
      <c r="O102" s="68"/>
      <c r="P102" s="62"/>
      <c r="Q102" s="62"/>
      <c r="R102" s="59"/>
      <c r="S102" s="16">
        <v>-0.88100000000000001</v>
      </c>
      <c r="T102" s="11">
        <v>-0.47099999999999997</v>
      </c>
      <c r="U102" s="11">
        <v>-4.2000000000000003E-2</v>
      </c>
      <c r="V102" s="17">
        <v>41</v>
      </c>
    </row>
    <row r="103" spans="2:22" x14ac:dyDescent="0.3">
      <c r="B103" s="56" t="s">
        <v>15</v>
      </c>
      <c r="C103" s="56" t="s">
        <v>4</v>
      </c>
      <c r="D103" s="57">
        <v>1</v>
      </c>
      <c r="E103" s="13">
        <v>0</v>
      </c>
      <c r="F103" s="14">
        <v>0</v>
      </c>
      <c r="G103" s="14">
        <v>-1</v>
      </c>
      <c r="H103" s="15">
        <v>50.66</v>
      </c>
      <c r="I103" s="13" cm="1">
        <f t="array" ref="I103:L106">MMULT(MMULT(S5:V8,$S$25:$V$28),S129:V132)</f>
        <v>-1.0046799</v>
      </c>
      <c r="J103" s="5">
        <v>-1.6668499999999999E-2</v>
      </c>
      <c r="K103" s="5">
        <v>-2.0691100000000021E-2</v>
      </c>
      <c r="L103" s="4">
        <v>54.021061999999993</v>
      </c>
      <c r="O103" s="68"/>
      <c r="P103" s="62"/>
      <c r="Q103" s="62"/>
      <c r="R103" s="59"/>
      <c r="S103" s="16">
        <v>-0.47199999999999998</v>
      </c>
      <c r="T103" s="11">
        <v>0.877</v>
      </c>
      <c r="U103" s="11">
        <v>9.0999999999999998E-2</v>
      </c>
      <c r="V103" s="17">
        <v>204.1</v>
      </c>
    </row>
    <row r="104" spans="2:22" ht="15" thickBot="1" x14ac:dyDescent="0.35">
      <c r="B104" s="56"/>
      <c r="C104" s="56"/>
      <c r="D104" s="57"/>
      <c r="E104" s="16">
        <v>1</v>
      </c>
      <c r="F104" s="11">
        <v>0</v>
      </c>
      <c r="G104" s="11">
        <v>0</v>
      </c>
      <c r="H104" s="17">
        <v>547.67999999999995</v>
      </c>
      <c r="I104" s="43">
        <v>-2.2559900000000035E-2</v>
      </c>
      <c r="J104" s="1">
        <v>9.6973999999999984E-3</v>
      </c>
      <c r="K104" s="1">
        <v>0.99959149999999997</v>
      </c>
      <c r="L104" s="2">
        <v>528.17166700000007</v>
      </c>
      <c r="O104" s="68"/>
      <c r="P104" s="62"/>
      <c r="Q104" s="62"/>
      <c r="R104" s="60"/>
      <c r="S104" s="41">
        <v>0</v>
      </c>
      <c r="T104" s="12">
        <v>0</v>
      </c>
      <c r="U104" s="12">
        <v>0</v>
      </c>
      <c r="V104" s="42">
        <v>1</v>
      </c>
    </row>
    <row r="105" spans="2:22" x14ac:dyDescent="0.3">
      <c r="B105" s="56"/>
      <c r="C105" s="56"/>
      <c r="D105" s="57"/>
      <c r="E105" s="16">
        <v>0</v>
      </c>
      <c r="F105" s="11">
        <v>-1</v>
      </c>
      <c r="G105" s="11">
        <v>0</v>
      </c>
      <c r="H105" s="17">
        <v>-159.96</v>
      </c>
      <c r="I105" s="43">
        <v>-0.31396869999999999</v>
      </c>
      <c r="J105" s="1">
        <v>0.99939479999999992</v>
      </c>
      <c r="K105" s="1">
        <v>-9.8441000000000015E-3</v>
      </c>
      <c r="L105" s="2">
        <v>-159.26903100000004</v>
      </c>
      <c r="O105" s="68"/>
      <c r="P105" s="62"/>
      <c r="Q105" s="62"/>
      <c r="R105" s="58">
        <v>5</v>
      </c>
      <c r="S105" s="13">
        <v>-0.93500000000000005</v>
      </c>
      <c r="T105" s="14">
        <v>0.25</v>
      </c>
      <c r="U105" s="14">
        <v>-0.251</v>
      </c>
      <c r="V105" s="15">
        <v>65.36</v>
      </c>
    </row>
    <row r="106" spans="2:22" ht="15" thickBot="1" x14ac:dyDescent="0.35">
      <c r="B106" s="56"/>
      <c r="C106" s="56"/>
      <c r="D106" s="57"/>
      <c r="E106" s="18">
        <v>0</v>
      </c>
      <c r="F106" s="19">
        <v>0</v>
      </c>
      <c r="G106" s="19">
        <v>0</v>
      </c>
      <c r="H106" s="20">
        <v>1</v>
      </c>
      <c r="I106" s="44">
        <v>0</v>
      </c>
      <c r="J106" s="6">
        <v>0</v>
      </c>
      <c r="K106" s="6">
        <v>0</v>
      </c>
      <c r="L106" s="3">
        <v>1</v>
      </c>
      <c r="O106" s="68"/>
      <c r="P106" s="62"/>
      <c r="Q106" s="62"/>
      <c r="R106" s="59"/>
      <c r="S106" s="16">
        <v>-0.33200000000000002</v>
      </c>
      <c r="T106" s="11">
        <v>-0.86399999999999999</v>
      </c>
      <c r="U106" s="11">
        <v>0.378</v>
      </c>
      <c r="V106" s="17">
        <v>14.64</v>
      </c>
    </row>
    <row r="107" spans="2:22" x14ac:dyDescent="0.3">
      <c r="B107" s="56"/>
      <c r="C107" s="56"/>
      <c r="D107" s="57">
        <v>2</v>
      </c>
      <c r="E107" s="35">
        <v>0</v>
      </c>
      <c r="F107" s="29">
        <v>0</v>
      </c>
      <c r="G107" s="29">
        <v>-1</v>
      </c>
      <c r="H107" s="36">
        <v>50.66</v>
      </c>
      <c r="I107" s="35" cm="1">
        <f t="array" ref="I107:L110">MMULT(MMULT(S9:V12,$S$25:$V$28),S133:V136)</f>
        <v>-1.0000956000000001</v>
      </c>
      <c r="J107" s="45">
        <v>1.8579600000000002E-2</v>
      </c>
      <c r="K107" s="45">
        <v>-4.1242999999999801E-3</v>
      </c>
      <c r="L107" s="46">
        <v>52.726319000000004</v>
      </c>
      <c r="O107" s="68"/>
      <c r="P107" s="62"/>
      <c r="Q107" s="62"/>
      <c r="R107" s="59"/>
      <c r="S107" s="16">
        <v>-0.122</v>
      </c>
      <c r="T107" s="11">
        <v>0.436</v>
      </c>
      <c r="U107" s="11">
        <v>0.89100000000000001</v>
      </c>
      <c r="V107" s="17">
        <v>232.82</v>
      </c>
    </row>
    <row r="108" spans="2:22" ht="15" thickBot="1" x14ac:dyDescent="0.35">
      <c r="B108" s="56"/>
      <c r="C108" s="56"/>
      <c r="D108" s="57"/>
      <c r="E108" s="16">
        <v>1</v>
      </c>
      <c r="F108" s="11">
        <v>0</v>
      </c>
      <c r="G108" s="11">
        <v>0</v>
      </c>
      <c r="H108" s="17">
        <v>547.67999999999995</v>
      </c>
      <c r="I108" s="43">
        <v>5.1657999999999748E-3</v>
      </c>
      <c r="J108" s="1">
        <v>6.2483800000000006E-2</v>
      </c>
      <c r="K108" s="1">
        <v>0.99444390000000005</v>
      </c>
      <c r="L108" s="2">
        <v>527.28396099999998</v>
      </c>
      <c r="O108" s="69"/>
      <c r="P108" s="63"/>
      <c r="Q108" s="63"/>
      <c r="R108" s="60"/>
      <c r="S108" s="18">
        <v>0</v>
      </c>
      <c r="T108" s="19">
        <v>0</v>
      </c>
      <c r="U108" s="19">
        <v>0</v>
      </c>
      <c r="V108" s="20">
        <v>1</v>
      </c>
    </row>
    <row r="109" spans="2:22" x14ac:dyDescent="0.3">
      <c r="B109" s="56"/>
      <c r="C109" s="56"/>
      <c r="D109" s="57"/>
      <c r="E109" s="16">
        <v>0</v>
      </c>
      <c r="F109" s="11">
        <v>-1</v>
      </c>
      <c r="G109" s="11">
        <v>0</v>
      </c>
      <c r="H109" s="17">
        <v>-159.96</v>
      </c>
      <c r="I109" s="43">
        <v>1.8076999999999999E-2</v>
      </c>
      <c r="J109" s="1">
        <v>0.99751299999999998</v>
      </c>
      <c r="K109" s="1">
        <v>-0.57016999999999995</v>
      </c>
      <c r="L109" s="2">
        <v>-161.93528800000001</v>
      </c>
      <c r="O109" s="67" t="s">
        <v>14</v>
      </c>
      <c r="P109" s="61" t="s">
        <v>15</v>
      </c>
      <c r="Q109" s="61" t="s">
        <v>2</v>
      </c>
      <c r="R109" s="58">
        <v>1</v>
      </c>
      <c r="S109" s="13">
        <v>-0.90400000000000003</v>
      </c>
      <c r="T109" s="14">
        <v>2E-3</v>
      </c>
      <c r="U109" s="14">
        <v>-0.42899999999999999</v>
      </c>
      <c r="V109" s="15">
        <v>-6.77</v>
      </c>
    </row>
    <row r="110" spans="2:22" ht="15" thickBot="1" x14ac:dyDescent="0.35">
      <c r="B110" s="56"/>
      <c r="C110" s="56"/>
      <c r="D110" s="57"/>
      <c r="E110" s="41">
        <v>0</v>
      </c>
      <c r="F110" s="12">
        <v>0</v>
      </c>
      <c r="G110" s="12">
        <v>0</v>
      </c>
      <c r="H110" s="42">
        <v>1</v>
      </c>
      <c r="I110" s="47">
        <v>0</v>
      </c>
      <c r="J110" s="48">
        <v>0</v>
      </c>
      <c r="K110" s="48">
        <v>0</v>
      </c>
      <c r="L110" s="49">
        <v>1</v>
      </c>
      <c r="O110" s="68"/>
      <c r="P110" s="62"/>
      <c r="Q110" s="62"/>
      <c r="R110" s="59"/>
      <c r="S110" s="16">
        <v>-0.42899999999999999</v>
      </c>
      <c r="T110" s="11">
        <v>-1E-3</v>
      </c>
      <c r="U110" s="11">
        <v>0.90300000000000002</v>
      </c>
      <c r="V110" s="17">
        <v>46.49</v>
      </c>
    </row>
    <row r="111" spans="2:22" x14ac:dyDescent="0.3">
      <c r="B111" s="56"/>
      <c r="C111" s="56"/>
      <c r="D111" s="57">
        <v>3</v>
      </c>
      <c r="E111" s="13">
        <v>0</v>
      </c>
      <c r="F111" s="14">
        <v>0</v>
      </c>
      <c r="G111" s="14">
        <v>-1</v>
      </c>
      <c r="H111" s="15">
        <v>50.66</v>
      </c>
      <c r="I111" s="13" cm="1">
        <f t="array" ref="I111:L114">MMULT(MMULT(S13:V16,$S$25:$V$28),S137:V140)</f>
        <v>-0.9995385</v>
      </c>
      <c r="J111" s="5">
        <v>6.0891000000000001E-3</v>
      </c>
      <c r="K111" s="5">
        <v>-1.574030000000002E-2</v>
      </c>
      <c r="L111" s="4">
        <v>53.658811000000007</v>
      </c>
      <c r="O111" s="68"/>
      <c r="P111" s="62"/>
      <c r="Q111" s="62"/>
      <c r="R111" s="59"/>
      <c r="S111" s="16">
        <v>2E-3</v>
      </c>
      <c r="T111" s="11">
        <v>0.999</v>
      </c>
      <c r="U111" s="11">
        <v>1E-3</v>
      </c>
      <c r="V111" s="17">
        <v>246.24</v>
      </c>
    </row>
    <row r="112" spans="2:22" ht="15" thickBot="1" x14ac:dyDescent="0.35">
      <c r="B112" s="56"/>
      <c r="C112" s="56"/>
      <c r="D112" s="57"/>
      <c r="E112" s="16">
        <v>1</v>
      </c>
      <c r="F112" s="11">
        <v>0</v>
      </c>
      <c r="G112" s="11">
        <v>0</v>
      </c>
      <c r="H112" s="17">
        <v>547.67999999999995</v>
      </c>
      <c r="I112" s="43">
        <v>-1.5509300000000052E-2</v>
      </c>
      <c r="J112" s="1">
        <v>1.5883700000000001E-2</v>
      </c>
      <c r="K112" s="1">
        <v>0.99936610000000015</v>
      </c>
      <c r="L112" s="2">
        <v>528.94043299999998</v>
      </c>
      <c r="O112" s="68"/>
      <c r="P112" s="62"/>
      <c r="Q112" s="62"/>
      <c r="R112" s="60"/>
      <c r="S112" s="18">
        <v>0</v>
      </c>
      <c r="T112" s="19">
        <v>0</v>
      </c>
      <c r="U112" s="19">
        <v>0</v>
      </c>
      <c r="V112" s="20">
        <v>1</v>
      </c>
    </row>
    <row r="113" spans="2:22" x14ac:dyDescent="0.3">
      <c r="B113" s="56"/>
      <c r="C113" s="56"/>
      <c r="D113" s="57"/>
      <c r="E113" s="16">
        <v>0</v>
      </c>
      <c r="F113" s="11">
        <v>-1</v>
      </c>
      <c r="G113" s="11">
        <v>0</v>
      </c>
      <c r="H113" s="17">
        <v>-159.96</v>
      </c>
      <c r="I113" s="43">
        <v>6.1930000000000006E-3</v>
      </c>
      <c r="J113" s="1">
        <v>1.0000016</v>
      </c>
      <c r="K113" s="1">
        <v>-1.5903800000000003E-2</v>
      </c>
      <c r="L113" s="2">
        <v>-160.35276400000001</v>
      </c>
      <c r="O113" s="68"/>
      <c r="P113" s="62"/>
      <c r="Q113" s="62"/>
      <c r="R113" s="58">
        <v>2</v>
      </c>
      <c r="S113" s="13">
        <v>-0.90400000000000003</v>
      </c>
      <c r="T113" s="14">
        <v>5.6000000000000001E-2</v>
      </c>
      <c r="U113" s="14">
        <v>-0.42299999999999999</v>
      </c>
      <c r="V113" s="15">
        <v>-54.25</v>
      </c>
    </row>
    <row r="114" spans="2:22" ht="15" thickBot="1" x14ac:dyDescent="0.35">
      <c r="B114" s="56"/>
      <c r="C114" s="56"/>
      <c r="D114" s="57"/>
      <c r="E114" s="18">
        <v>0</v>
      </c>
      <c r="F114" s="19">
        <v>0</v>
      </c>
      <c r="G114" s="19">
        <v>0</v>
      </c>
      <c r="H114" s="20">
        <v>1</v>
      </c>
      <c r="I114" s="44">
        <v>0</v>
      </c>
      <c r="J114" s="6">
        <v>0</v>
      </c>
      <c r="K114" s="6">
        <v>0</v>
      </c>
      <c r="L114" s="3">
        <v>1</v>
      </c>
      <c r="O114" s="68"/>
      <c r="P114" s="62"/>
      <c r="Q114" s="62"/>
      <c r="R114" s="59"/>
      <c r="S114" s="16">
        <v>-0.42599999999999999</v>
      </c>
      <c r="T114" s="11">
        <v>-5.6000000000000001E-2</v>
      </c>
      <c r="U114" s="11">
        <v>0.90300000000000002</v>
      </c>
      <c r="V114" s="17">
        <v>23.51</v>
      </c>
    </row>
    <row r="115" spans="2:22" x14ac:dyDescent="0.3">
      <c r="B115" s="56"/>
      <c r="C115" s="56"/>
      <c r="D115" s="57">
        <v>4</v>
      </c>
      <c r="E115" s="35">
        <v>0</v>
      </c>
      <c r="F115" s="29">
        <v>0</v>
      </c>
      <c r="G115" s="29">
        <v>-1</v>
      </c>
      <c r="H115" s="36">
        <v>50.66</v>
      </c>
      <c r="I115" s="35" cm="1">
        <f t="array" ref="I115:L118">MMULT(MMULT(S17:V20,$S$25:$V$28),S141:V144)</f>
        <v>0.96633389999999997</v>
      </c>
      <c r="J115" s="45">
        <v>-0.14490550000000002</v>
      </c>
      <c r="K115" s="45">
        <v>0.21458790000000003</v>
      </c>
      <c r="L115" s="46">
        <v>8.9723620000000324</v>
      </c>
      <c r="O115" s="68"/>
      <c r="P115" s="62"/>
      <c r="Q115" s="62"/>
      <c r="R115" s="59"/>
      <c r="S115" s="16">
        <v>2.7E-2</v>
      </c>
      <c r="T115" s="11">
        <v>0.997</v>
      </c>
      <c r="U115" s="11">
        <v>7.3999999999999996E-2</v>
      </c>
      <c r="V115" s="17">
        <v>245.66</v>
      </c>
    </row>
    <row r="116" spans="2:22" ht="15" thickBot="1" x14ac:dyDescent="0.35">
      <c r="B116" s="56"/>
      <c r="C116" s="56"/>
      <c r="D116" s="57"/>
      <c r="E116" s="16">
        <v>1</v>
      </c>
      <c r="F116" s="11">
        <v>0</v>
      </c>
      <c r="G116" s="11">
        <v>0</v>
      </c>
      <c r="H116" s="17">
        <v>547.67999999999995</v>
      </c>
      <c r="I116" s="43">
        <v>-4.1954000000000019E-3</v>
      </c>
      <c r="J116" s="1">
        <v>0.81953140000000013</v>
      </c>
      <c r="K116" s="1">
        <v>0.57307590000000008</v>
      </c>
      <c r="L116" s="2">
        <v>528.24134700000002</v>
      </c>
      <c r="O116" s="68"/>
      <c r="P116" s="62"/>
      <c r="Q116" s="62"/>
      <c r="R116" s="60"/>
      <c r="S116" s="18">
        <v>0</v>
      </c>
      <c r="T116" s="19">
        <v>0</v>
      </c>
      <c r="U116" s="19">
        <v>0</v>
      </c>
      <c r="V116" s="20">
        <v>1</v>
      </c>
    </row>
    <row r="117" spans="2:22" x14ac:dyDescent="0.3">
      <c r="B117" s="56"/>
      <c r="C117" s="56"/>
      <c r="D117" s="57"/>
      <c r="E117" s="16">
        <v>0</v>
      </c>
      <c r="F117" s="11">
        <v>-1</v>
      </c>
      <c r="G117" s="11">
        <v>0</v>
      </c>
      <c r="H117" s="17">
        <v>-159.96</v>
      </c>
      <c r="I117" s="43">
        <v>-0.25875510000000007</v>
      </c>
      <c r="J117" s="1">
        <v>-0.55417420000000006</v>
      </c>
      <c r="K117" s="1">
        <v>0.79067340000000008</v>
      </c>
      <c r="L117" s="2">
        <v>-158.89874700000001</v>
      </c>
      <c r="O117" s="68"/>
      <c r="P117" s="62"/>
      <c r="Q117" s="62"/>
      <c r="R117" s="58">
        <v>3</v>
      </c>
      <c r="S117" s="13">
        <v>-0.42099999999999999</v>
      </c>
      <c r="T117" s="14">
        <v>3.0000000000000001E-3</v>
      </c>
      <c r="U117" s="14">
        <v>-0.90700000000000003</v>
      </c>
      <c r="V117" s="15">
        <v>0.56699999999999995</v>
      </c>
    </row>
    <row r="118" spans="2:22" ht="15" thickBot="1" x14ac:dyDescent="0.35">
      <c r="B118" s="56"/>
      <c r="C118" s="56"/>
      <c r="D118" s="57"/>
      <c r="E118" s="41">
        <v>0</v>
      </c>
      <c r="F118" s="12">
        <v>0</v>
      </c>
      <c r="G118" s="12">
        <v>0</v>
      </c>
      <c r="H118" s="42">
        <v>1</v>
      </c>
      <c r="I118" s="47">
        <v>0</v>
      </c>
      <c r="J118" s="48">
        <v>0</v>
      </c>
      <c r="K118" s="48">
        <v>0</v>
      </c>
      <c r="L118" s="49">
        <v>1</v>
      </c>
      <c r="O118" s="68"/>
      <c r="P118" s="62"/>
      <c r="Q118" s="62"/>
      <c r="R118" s="59"/>
      <c r="S118" s="16">
        <v>0.90600000000000003</v>
      </c>
      <c r="T118" s="11">
        <v>-3.4000000000000002E-2</v>
      </c>
      <c r="U118" s="11">
        <v>-0.42099999999999999</v>
      </c>
      <c r="V118" s="17">
        <v>-37.11</v>
      </c>
    </row>
    <row r="119" spans="2:22" x14ac:dyDescent="0.3">
      <c r="B119" s="56"/>
      <c r="C119" s="56"/>
      <c r="D119" s="57">
        <v>5</v>
      </c>
      <c r="E119" s="13">
        <v>0</v>
      </c>
      <c r="F119" s="14">
        <v>0</v>
      </c>
      <c r="G119" s="14">
        <v>-1</v>
      </c>
      <c r="H119" s="15">
        <v>50.66</v>
      </c>
      <c r="I119" s="13" cm="1">
        <f t="array" ref="I119:L122">MMULT(MMULT(S21:V24,$S$25:$V$28),S145:V148)</f>
        <v>-5.7748699999999986E-2</v>
      </c>
      <c r="J119" s="5">
        <v>0.99461940000000004</v>
      </c>
      <c r="K119" s="5">
        <v>8.2331499999999946E-2</v>
      </c>
      <c r="L119" s="4">
        <v>30.015844999999995</v>
      </c>
      <c r="O119" s="68"/>
      <c r="P119" s="62"/>
      <c r="Q119" s="62"/>
      <c r="R119" s="59"/>
      <c r="S119" s="16">
        <v>-3.2000000000000001E-2</v>
      </c>
      <c r="T119" s="11">
        <v>-0.99399999999999999</v>
      </c>
      <c r="U119" s="11">
        <v>1.0999999999999999E-2</v>
      </c>
      <c r="V119" s="17">
        <v>244.83</v>
      </c>
    </row>
    <row r="120" spans="2:22" ht="15" thickBot="1" x14ac:dyDescent="0.35">
      <c r="B120" s="56"/>
      <c r="C120" s="56"/>
      <c r="D120" s="57"/>
      <c r="E120" s="16">
        <v>1</v>
      </c>
      <c r="F120" s="11">
        <v>0</v>
      </c>
      <c r="G120" s="11">
        <v>0</v>
      </c>
      <c r="H120" s="17">
        <v>547.67999999999995</v>
      </c>
      <c r="I120" s="43">
        <v>-0.33658060000000006</v>
      </c>
      <c r="J120" s="1">
        <v>5.8352100000000004E-2</v>
      </c>
      <c r="K120" s="1">
        <v>-0.94009340000000008</v>
      </c>
      <c r="L120" s="2">
        <v>487.32341500000001</v>
      </c>
      <c r="O120" s="68"/>
      <c r="P120" s="62"/>
      <c r="Q120" s="62"/>
      <c r="R120" s="60"/>
      <c r="S120" s="18">
        <v>0</v>
      </c>
      <c r="T120" s="19">
        <v>0</v>
      </c>
      <c r="U120" s="19">
        <v>0</v>
      </c>
      <c r="V120" s="20">
        <v>1</v>
      </c>
    </row>
    <row r="121" spans="2:22" x14ac:dyDescent="0.3">
      <c r="B121" s="56"/>
      <c r="C121" s="56"/>
      <c r="D121" s="57"/>
      <c r="E121" s="16">
        <v>0</v>
      </c>
      <c r="F121" s="11">
        <v>-1</v>
      </c>
      <c r="G121" s="11">
        <v>0</v>
      </c>
      <c r="H121" s="17">
        <v>-159.96</v>
      </c>
      <c r="I121" s="43">
        <v>-0.94046570000000007</v>
      </c>
      <c r="J121" s="1">
        <v>-8.2184699999999972E-2</v>
      </c>
      <c r="K121" s="1">
        <v>0.3311225000000001</v>
      </c>
      <c r="L121" s="2">
        <v>-176.88912999999999</v>
      </c>
      <c r="O121" s="68"/>
      <c r="P121" s="62"/>
      <c r="Q121" s="62"/>
      <c r="R121" s="58">
        <v>4</v>
      </c>
      <c r="S121" s="13">
        <v>-3.7999999999999999E-2</v>
      </c>
      <c r="T121" s="14">
        <v>-0.112</v>
      </c>
      <c r="U121" s="14">
        <v>-0.99199999999999999</v>
      </c>
      <c r="V121" s="15">
        <v>38.78</v>
      </c>
    </row>
    <row r="122" spans="2:22" ht="15" thickBot="1" x14ac:dyDescent="0.35">
      <c r="B122" s="56"/>
      <c r="C122" s="56"/>
      <c r="D122" s="57"/>
      <c r="E122" s="18">
        <v>0</v>
      </c>
      <c r="F122" s="19">
        <v>0</v>
      </c>
      <c r="G122" s="19">
        <v>0</v>
      </c>
      <c r="H122" s="20">
        <v>1</v>
      </c>
      <c r="I122" s="44">
        <v>0</v>
      </c>
      <c r="J122" s="6">
        <v>0</v>
      </c>
      <c r="K122" s="6">
        <v>0</v>
      </c>
      <c r="L122" s="3">
        <v>1</v>
      </c>
      <c r="O122" s="68"/>
      <c r="P122" s="62"/>
      <c r="Q122" s="62"/>
      <c r="R122" s="59"/>
      <c r="S122" s="16">
        <v>0.63500000000000001</v>
      </c>
      <c r="T122" s="11">
        <v>-0.77</v>
      </c>
      <c r="U122" s="11">
        <v>6.8000000000000005E-2</v>
      </c>
      <c r="V122" s="17">
        <v>20.03</v>
      </c>
    </row>
    <row r="123" spans="2:22" x14ac:dyDescent="0.3">
      <c r="B123" s="56" t="s">
        <v>15</v>
      </c>
      <c r="C123" s="56" t="s">
        <v>5</v>
      </c>
      <c r="D123" s="57">
        <v>1</v>
      </c>
      <c r="E123" s="35">
        <v>-1</v>
      </c>
      <c r="F123" s="29">
        <v>0</v>
      </c>
      <c r="G123" s="29">
        <v>0</v>
      </c>
      <c r="H123" s="36">
        <v>37.659999999999997</v>
      </c>
      <c r="I123" s="35" cm="1">
        <f t="array" ref="I123:L126">MMULT(MMULT(S5:V8,$S$25:$V$28),S149:V152)</f>
        <v>-0.99963819999999992</v>
      </c>
      <c r="J123" s="45">
        <v>1.1270200000000003E-2</v>
      </c>
      <c r="K123" s="45">
        <v>-2.434140000000001E-2</v>
      </c>
      <c r="L123" s="46">
        <v>40.443882000000002</v>
      </c>
      <c r="O123" s="68"/>
      <c r="P123" s="62"/>
      <c r="Q123" s="62"/>
      <c r="R123" s="59"/>
      <c r="S123" s="16">
        <v>-0.77200000000000002</v>
      </c>
      <c r="T123" s="11">
        <v>-0.627</v>
      </c>
      <c r="U123" s="11">
        <v>0.106</v>
      </c>
      <c r="V123" s="17">
        <v>223.61</v>
      </c>
    </row>
    <row r="124" spans="2:22" ht="15" thickBot="1" x14ac:dyDescent="0.35">
      <c r="B124" s="56"/>
      <c r="C124" s="56"/>
      <c r="D124" s="57"/>
      <c r="E124" s="16">
        <v>0</v>
      </c>
      <c r="F124" s="11">
        <v>0</v>
      </c>
      <c r="G124" s="11">
        <v>1</v>
      </c>
      <c r="H124" s="17">
        <v>547.67999999999995</v>
      </c>
      <c r="I124" s="43">
        <v>-2.5047800000000019E-2</v>
      </c>
      <c r="J124" s="1">
        <v>-1.4803400000000001E-2</v>
      </c>
      <c r="K124" s="1">
        <v>0.99896349999999989</v>
      </c>
      <c r="L124" s="2">
        <v>527.13871900000004</v>
      </c>
      <c r="O124" s="68"/>
      <c r="P124" s="62"/>
      <c r="Q124" s="62"/>
      <c r="R124" s="60"/>
      <c r="S124" s="18">
        <v>0</v>
      </c>
      <c r="T124" s="19">
        <v>0</v>
      </c>
      <c r="U124" s="19">
        <v>0</v>
      </c>
      <c r="V124" s="20">
        <v>1</v>
      </c>
    </row>
    <row r="125" spans="2:22" x14ac:dyDescent="0.3">
      <c r="B125" s="56"/>
      <c r="C125" s="56"/>
      <c r="D125" s="57"/>
      <c r="E125" s="16">
        <v>0</v>
      </c>
      <c r="F125" s="11">
        <v>1</v>
      </c>
      <c r="G125" s="11">
        <v>0</v>
      </c>
      <c r="H125" s="17">
        <v>-160.66</v>
      </c>
      <c r="I125" s="43">
        <v>1.1028400000000001E-2</v>
      </c>
      <c r="J125" s="1">
        <v>0.99910239999999995</v>
      </c>
      <c r="K125" s="1">
        <v>1.52225E-2</v>
      </c>
      <c r="L125" s="2">
        <v>-160.11724500000003</v>
      </c>
      <c r="O125" s="68"/>
      <c r="P125" s="62"/>
      <c r="Q125" s="62"/>
      <c r="R125" s="58">
        <v>5</v>
      </c>
      <c r="S125" s="35">
        <v>-0.92100000000000004</v>
      </c>
      <c r="T125" s="29">
        <v>0.25</v>
      </c>
      <c r="U125" s="29">
        <v>-0.248</v>
      </c>
      <c r="V125" s="36">
        <v>55.61</v>
      </c>
    </row>
    <row r="126" spans="2:22" ht="15" thickBot="1" x14ac:dyDescent="0.35">
      <c r="B126" s="56"/>
      <c r="C126" s="56"/>
      <c r="D126" s="57"/>
      <c r="E126" s="41">
        <v>0</v>
      </c>
      <c r="F126" s="12">
        <v>0</v>
      </c>
      <c r="G126" s="12">
        <v>0</v>
      </c>
      <c r="H126" s="42">
        <v>1</v>
      </c>
      <c r="I126" s="47">
        <v>0</v>
      </c>
      <c r="J126" s="48">
        <v>0</v>
      </c>
      <c r="K126" s="48">
        <v>0</v>
      </c>
      <c r="L126" s="49">
        <v>1</v>
      </c>
      <c r="O126" s="68"/>
      <c r="P126" s="62"/>
      <c r="Q126" s="62"/>
      <c r="R126" s="59"/>
      <c r="S126" s="16">
        <v>-0.31</v>
      </c>
      <c r="T126" s="11">
        <v>-0.79900000000000004</v>
      </c>
      <c r="U126" s="11">
        <v>0.36899999999999999</v>
      </c>
      <c r="V126" s="17">
        <v>17.46</v>
      </c>
    </row>
    <row r="127" spans="2:22" x14ac:dyDescent="0.3">
      <c r="B127" s="56"/>
      <c r="C127" s="56"/>
      <c r="D127" s="57">
        <v>2</v>
      </c>
      <c r="E127" s="13">
        <v>-1</v>
      </c>
      <c r="F127" s="14">
        <v>0</v>
      </c>
      <c r="G127" s="14">
        <v>0</v>
      </c>
      <c r="H127" s="15">
        <v>37.659999999999997</v>
      </c>
      <c r="I127" s="13" cm="1">
        <f t="array" ref="I127:L130">MMULT(MMULT(S9:V12,$S$25:$V$28),S153:V156)</f>
        <v>-0.99898780000000009</v>
      </c>
      <c r="J127" s="5">
        <v>2.6624500000000002E-2</v>
      </c>
      <c r="K127" s="5">
        <v>-2.3740899999999968E-2</v>
      </c>
      <c r="L127" s="4">
        <v>39.343957000000003</v>
      </c>
      <c r="O127" s="68"/>
      <c r="P127" s="62"/>
      <c r="Q127" s="62"/>
      <c r="R127" s="59"/>
      <c r="S127" s="16">
        <v>-0.14000000000000001</v>
      </c>
      <c r="T127" s="11">
        <v>0.44400000000000001</v>
      </c>
      <c r="U127" s="11">
        <v>0.89600000000000002</v>
      </c>
      <c r="V127" s="17">
        <v>233.56</v>
      </c>
    </row>
    <row r="128" spans="2:22" ht="15" thickBot="1" x14ac:dyDescent="0.35">
      <c r="B128" s="56"/>
      <c r="C128" s="56"/>
      <c r="D128" s="57"/>
      <c r="E128" s="16">
        <v>0</v>
      </c>
      <c r="F128" s="11">
        <v>0</v>
      </c>
      <c r="G128" s="11">
        <v>1</v>
      </c>
      <c r="H128" s="17">
        <v>547.67999999999995</v>
      </c>
      <c r="I128" s="43">
        <v>-2.2997200000000002E-2</v>
      </c>
      <c r="J128" s="1">
        <v>1.4396300000000001E-2</v>
      </c>
      <c r="K128" s="1">
        <v>1.0000576999999999</v>
      </c>
      <c r="L128" s="2">
        <v>526.76950799999997</v>
      </c>
      <c r="O128" s="68"/>
      <c r="P128" s="63"/>
      <c r="Q128" s="63"/>
      <c r="R128" s="60"/>
      <c r="S128" s="18">
        <v>0</v>
      </c>
      <c r="T128" s="19">
        <v>0</v>
      </c>
      <c r="U128" s="19">
        <v>0</v>
      </c>
      <c r="V128" s="20">
        <v>1</v>
      </c>
    </row>
    <row r="129" spans="2:22" x14ac:dyDescent="0.3">
      <c r="B129" s="56"/>
      <c r="C129" s="56"/>
      <c r="D129" s="57"/>
      <c r="E129" s="16">
        <v>0</v>
      </c>
      <c r="F129" s="11">
        <v>1</v>
      </c>
      <c r="G129" s="11">
        <v>0</v>
      </c>
      <c r="H129" s="17">
        <v>-160.66</v>
      </c>
      <c r="I129" s="43">
        <v>2.6234200000000003E-2</v>
      </c>
      <c r="J129" s="1">
        <v>0.99968000000000001</v>
      </c>
      <c r="K129" s="1">
        <v>-1.3778800000000001E-2</v>
      </c>
      <c r="L129" s="2">
        <v>-162.60674700000001</v>
      </c>
      <c r="O129" s="68"/>
      <c r="P129" s="61" t="s">
        <v>15</v>
      </c>
      <c r="Q129" s="61" t="s">
        <v>4</v>
      </c>
      <c r="R129" s="58">
        <v>1</v>
      </c>
      <c r="S129" s="13">
        <v>-0.40300000000000002</v>
      </c>
      <c r="T129" s="14">
        <v>-1.7000000000000001E-2</v>
      </c>
      <c r="U129" s="14">
        <v>-0.91500000000000004</v>
      </c>
      <c r="V129" s="15">
        <v>-11.28</v>
      </c>
    </row>
    <row r="130" spans="2:22" ht="15" thickBot="1" x14ac:dyDescent="0.35">
      <c r="B130" s="56"/>
      <c r="C130" s="56"/>
      <c r="D130" s="57"/>
      <c r="E130" s="18">
        <v>0</v>
      </c>
      <c r="F130" s="19">
        <v>0</v>
      </c>
      <c r="G130" s="19">
        <v>0</v>
      </c>
      <c r="H130" s="20">
        <v>1</v>
      </c>
      <c r="I130" s="44">
        <v>0</v>
      </c>
      <c r="J130" s="6">
        <v>0</v>
      </c>
      <c r="K130" s="6">
        <v>0</v>
      </c>
      <c r="L130" s="3">
        <v>1</v>
      </c>
      <c r="O130" s="68"/>
      <c r="P130" s="62"/>
      <c r="Q130" s="62"/>
      <c r="R130" s="59"/>
      <c r="S130" s="16">
        <v>0.91500000000000004</v>
      </c>
      <c r="T130" s="11">
        <v>2.8000000000000001E-2</v>
      </c>
      <c r="U130" s="11">
        <v>-0.40300000000000002</v>
      </c>
      <c r="V130" s="17">
        <v>-9.19</v>
      </c>
    </row>
    <row r="131" spans="2:22" x14ac:dyDescent="0.3">
      <c r="B131" s="56"/>
      <c r="C131" s="56"/>
      <c r="D131" s="57">
        <v>3</v>
      </c>
      <c r="E131" s="35">
        <v>-1</v>
      </c>
      <c r="F131" s="29">
        <v>0</v>
      </c>
      <c r="G131" s="29">
        <v>0</v>
      </c>
      <c r="H131" s="36">
        <v>37.659999999999997</v>
      </c>
      <c r="I131" s="35" cm="1">
        <f t="array" ref="I131:L134">MMULT(MMULT(S13:V16,$S$25:$V$28),S157:V160)</f>
        <v>-0.99971440000000011</v>
      </c>
      <c r="J131" s="45">
        <v>1.8427200000000001E-2</v>
      </c>
      <c r="K131" s="45">
        <v>-2.8873299999999966E-2</v>
      </c>
      <c r="L131" s="46">
        <v>40.266885000000002</v>
      </c>
      <c r="O131" s="68"/>
      <c r="P131" s="62"/>
      <c r="Q131" s="62"/>
      <c r="R131" s="59"/>
      <c r="S131" s="16">
        <v>0.33</v>
      </c>
      <c r="T131" s="11">
        <v>-0.999</v>
      </c>
      <c r="U131" s="11">
        <v>4.0000000000000001E-3</v>
      </c>
      <c r="V131" s="17">
        <v>239.61</v>
      </c>
    </row>
    <row r="132" spans="2:22" ht="15" thickBot="1" x14ac:dyDescent="0.35">
      <c r="B132" s="56"/>
      <c r="C132" s="56"/>
      <c r="D132" s="57"/>
      <c r="E132" s="16">
        <v>0</v>
      </c>
      <c r="F132" s="11">
        <v>0</v>
      </c>
      <c r="G132" s="11">
        <v>1</v>
      </c>
      <c r="H132" s="17">
        <v>547.67999999999995</v>
      </c>
      <c r="I132" s="43">
        <v>-2.883870000000003E-2</v>
      </c>
      <c r="J132" s="1">
        <v>2.4922400000000001E-2</v>
      </c>
      <c r="K132" s="1">
        <v>0.99879040000000019</v>
      </c>
      <c r="L132" s="2">
        <v>527.93675600000006</v>
      </c>
      <c r="O132" s="68"/>
      <c r="P132" s="62"/>
      <c r="Q132" s="62"/>
      <c r="R132" s="60"/>
      <c r="S132" s="18">
        <v>0</v>
      </c>
      <c r="T132" s="19">
        <v>0</v>
      </c>
      <c r="U132" s="19">
        <v>0</v>
      </c>
      <c r="V132" s="20">
        <v>1</v>
      </c>
    </row>
    <row r="133" spans="2:22" x14ac:dyDescent="0.3">
      <c r="B133" s="56"/>
      <c r="C133" s="56"/>
      <c r="D133" s="57"/>
      <c r="E133" s="16">
        <v>0</v>
      </c>
      <c r="F133" s="11">
        <v>1</v>
      </c>
      <c r="G133" s="11">
        <v>0</v>
      </c>
      <c r="H133" s="17">
        <v>-160.66</v>
      </c>
      <c r="I133" s="43">
        <v>1.9280499999999999E-2</v>
      </c>
      <c r="J133" s="1">
        <v>0.99974720000000006</v>
      </c>
      <c r="K133" s="1">
        <v>-2.4690500000000001E-2</v>
      </c>
      <c r="L133" s="2">
        <v>-161.30111100000002</v>
      </c>
      <c r="O133" s="68"/>
      <c r="P133" s="62"/>
      <c r="Q133" s="62"/>
      <c r="R133" s="58">
        <v>2</v>
      </c>
      <c r="S133" s="13">
        <v>-0.42599999999999999</v>
      </c>
      <c r="T133" s="14">
        <v>-0.05</v>
      </c>
      <c r="U133" s="14">
        <v>-0.90300000000000002</v>
      </c>
      <c r="V133" s="15">
        <v>-58.57</v>
      </c>
    </row>
    <row r="134" spans="2:22" ht="15" thickBot="1" x14ac:dyDescent="0.35">
      <c r="B134" s="56"/>
      <c r="C134" s="56"/>
      <c r="D134" s="57"/>
      <c r="E134" s="41">
        <v>0</v>
      </c>
      <c r="F134" s="12">
        <v>0</v>
      </c>
      <c r="G134" s="12">
        <v>0</v>
      </c>
      <c r="H134" s="42">
        <v>1</v>
      </c>
      <c r="I134" s="47">
        <v>0</v>
      </c>
      <c r="J134" s="48">
        <v>0</v>
      </c>
      <c r="K134" s="48">
        <v>0</v>
      </c>
      <c r="L134" s="49">
        <v>1</v>
      </c>
      <c r="O134" s="68"/>
      <c r="P134" s="62"/>
      <c r="Q134" s="62"/>
      <c r="R134" s="59"/>
      <c r="S134" s="16">
        <v>0.90500000000000003</v>
      </c>
      <c r="T134" s="11">
        <v>-2.5999999999999999E-2</v>
      </c>
      <c r="U134" s="11">
        <v>-0.42499999999999999</v>
      </c>
      <c r="V134" s="17">
        <v>-31.43</v>
      </c>
    </row>
    <row r="135" spans="2:22" x14ac:dyDescent="0.3">
      <c r="B135" s="56"/>
      <c r="C135" s="56"/>
      <c r="D135" s="57">
        <v>4</v>
      </c>
      <c r="E135" s="13">
        <v>-1</v>
      </c>
      <c r="F135" s="14">
        <v>0</v>
      </c>
      <c r="G135" s="14">
        <v>0</v>
      </c>
      <c r="H135" s="15">
        <v>37.659999999999997</v>
      </c>
      <c r="I135" s="13" cm="1">
        <f t="array" ref="I135:L138">MMULT(MMULT(S17:V20,$S$25:$V$28),S161:V164)</f>
        <v>0.83590090000000017</v>
      </c>
      <c r="J135" s="5">
        <v>-0.2853156</v>
      </c>
      <c r="K135" s="5">
        <v>-0.46924440000000001</v>
      </c>
      <c r="L135" s="4">
        <v>6.8349270000000217</v>
      </c>
      <c r="O135" s="68"/>
      <c r="P135" s="62"/>
      <c r="Q135" s="62"/>
      <c r="R135" s="59"/>
      <c r="S135" s="16">
        <v>-2E-3</v>
      </c>
      <c r="T135" s="11">
        <v>-0.998</v>
      </c>
      <c r="U135" s="11">
        <v>0.56399999999999995</v>
      </c>
      <c r="V135" s="17">
        <v>241.94</v>
      </c>
    </row>
    <row r="136" spans="2:22" ht="15" thickBot="1" x14ac:dyDescent="0.35">
      <c r="B136" s="56"/>
      <c r="C136" s="56"/>
      <c r="D136" s="57"/>
      <c r="E136" s="16">
        <v>0</v>
      </c>
      <c r="F136" s="11">
        <v>0</v>
      </c>
      <c r="G136" s="11">
        <v>1</v>
      </c>
      <c r="H136" s="17">
        <v>547.67999999999995</v>
      </c>
      <c r="I136" s="43">
        <v>-0.53564030000000007</v>
      </c>
      <c r="J136" s="1">
        <v>-0.2353886</v>
      </c>
      <c r="K136" s="1">
        <v>-0.81152190000000013</v>
      </c>
      <c r="L136" s="2">
        <v>522.877613</v>
      </c>
      <c r="O136" s="68"/>
      <c r="P136" s="62"/>
      <c r="Q136" s="62"/>
      <c r="R136" s="60"/>
      <c r="S136" s="18">
        <v>0</v>
      </c>
      <c r="T136" s="19">
        <v>0</v>
      </c>
      <c r="U136" s="19">
        <v>0</v>
      </c>
      <c r="V136" s="20">
        <v>1</v>
      </c>
    </row>
    <row r="137" spans="2:22" x14ac:dyDescent="0.3">
      <c r="B137" s="56"/>
      <c r="C137" s="56"/>
      <c r="D137" s="57"/>
      <c r="E137" s="16">
        <v>0</v>
      </c>
      <c r="F137" s="11">
        <v>1</v>
      </c>
      <c r="G137" s="11">
        <v>0</v>
      </c>
      <c r="H137" s="17">
        <v>-160.66</v>
      </c>
      <c r="I137" s="43">
        <v>0.12115519999999996</v>
      </c>
      <c r="J137" s="1">
        <v>0.92887469999999994</v>
      </c>
      <c r="K137" s="1">
        <v>-0.34931259999999997</v>
      </c>
      <c r="L137" s="2">
        <v>-188.09934700000002</v>
      </c>
      <c r="O137" s="68"/>
      <c r="P137" s="62"/>
      <c r="Q137" s="62"/>
      <c r="R137" s="58">
        <v>3</v>
      </c>
      <c r="S137" s="13">
        <v>-0.40699999999999997</v>
      </c>
      <c r="T137" s="14">
        <v>-1.2999999999999999E-2</v>
      </c>
      <c r="U137" s="14">
        <v>-0.91300000000000003</v>
      </c>
      <c r="V137" s="15">
        <v>8.7100000000000009</v>
      </c>
    </row>
    <row r="138" spans="2:22" ht="15" thickBot="1" x14ac:dyDescent="0.35">
      <c r="B138" s="56"/>
      <c r="C138" s="56"/>
      <c r="D138" s="57"/>
      <c r="E138" s="18">
        <v>0</v>
      </c>
      <c r="F138" s="19">
        <v>0</v>
      </c>
      <c r="G138" s="19">
        <v>0</v>
      </c>
      <c r="H138" s="20">
        <v>1</v>
      </c>
      <c r="I138" s="44">
        <v>0</v>
      </c>
      <c r="J138" s="6">
        <v>0</v>
      </c>
      <c r="K138" s="6">
        <v>0</v>
      </c>
      <c r="L138" s="3">
        <v>1</v>
      </c>
      <c r="O138" s="68"/>
      <c r="P138" s="62"/>
      <c r="Q138" s="62"/>
      <c r="R138" s="59"/>
      <c r="S138" s="16">
        <v>0.91300000000000003</v>
      </c>
      <c r="T138" s="11">
        <v>5.0000000000000001E-3</v>
      </c>
      <c r="U138" s="11">
        <v>-0.40699999999999997</v>
      </c>
      <c r="V138" s="17">
        <v>-56.81</v>
      </c>
    </row>
    <row r="139" spans="2:22" x14ac:dyDescent="0.3">
      <c r="B139" s="56"/>
      <c r="C139" s="56"/>
      <c r="D139" s="57">
        <v>5</v>
      </c>
      <c r="E139" s="35">
        <v>-1</v>
      </c>
      <c r="F139" s="29">
        <v>0</v>
      </c>
      <c r="G139" s="29">
        <v>0</v>
      </c>
      <c r="H139" s="36">
        <v>37.659999999999997</v>
      </c>
      <c r="I139" s="35" cm="1">
        <f t="array" ref="I139:L142">MMULT(MMULT(S21:V24,$S$25:$V$28),S165:V168)</f>
        <v>-0.13815690000000003</v>
      </c>
      <c r="J139" s="45">
        <v>0.37240489999999998</v>
      </c>
      <c r="K139" s="45">
        <v>9.3176100000000039E-2</v>
      </c>
      <c r="L139" s="46">
        <v>7.3568749999999952</v>
      </c>
      <c r="O139" s="68"/>
      <c r="P139" s="62"/>
      <c r="Q139" s="62"/>
      <c r="R139" s="59"/>
      <c r="S139" s="16">
        <v>0.01</v>
      </c>
      <c r="T139" s="11">
        <v>-1</v>
      </c>
      <c r="U139" s="11">
        <v>0.01</v>
      </c>
      <c r="V139" s="17">
        <v>239.9</v>
      </c>
    </row>
    <row r="140" spans="2:22" ht="15" thickBot="1" x14ac:dyDescent="0.35">
      <c r="B140" s="56"/>
      <c r="C140" s="56"/>
      <c r="D140" s="57"/>
      <c r="E140" s="16">
        <v>0</v>
      </c>
      <c r="F140" s="11">
        <v>0</v>
      </c>
      <c r="G140" s="11">
        <v>1</v>
      </c>
      <c r="H140" s="17">
        <v>547.67999999999995</v>
      </c>
      <c r="I140" s="43">
        <v>0.2059416</v>
      </c>
      <c r="J140" s="1">
        <v>0.60786240000000002</v>
      </c>
      <c r="K140" s="1">
        <v>0.97725680000000004</v>
      </c>
      <c r="L140" s="2">
        <v>484.418654</v>
      </c>
      <c r="O140" s="68"/>
      <c r="P140" s="62"/>
      <c r="Q140" s="62"/>
      <c r="R140" s="60"/>
      <c r="S140" s="18">
        <v>0</v>
      </c>
      <c r="T140" s="19">
        <v>0</v>
      </c>
      <c r="U140" s="19">
        <v>0</v>
      </c>
      <c r="V140" s="20">
        <v>1</v>
      </c>
    </row>
    <row r="141" spans="2:22" x14ac:dyDescent="0.3">
      <c r="B141" s="56"/>
      <c r="C141" s="56"/>
      <c r="D141" s="57"/>
      <c r="E141" s="16">
        <v>0</v>
      </c>
      <c r="F141" s="11">
        <v>1</v>
      </c>
      <c r="G141" s="11">
        <v>0</v>
      </c>
      <c r="H141" s="17">
        <v>-160.66</v>
      </c>
      <c r="I141" s="43">
        <v>-0.96489690000000006</v>
      </c>
      <c r="J141" s="1">
        <v>-0.70181669999999996</v>
      </c>
      <c r="K141" s="1">
        <v>0.19034410000000002</v>
      </c>
      <c r="L141" s="2">
        <v>-153.06951500000002</v>
      </c>
      <c r="O141" s="68"/>
      <c r="P141" s="62"/>
      <c r="Q141" s="62"/>
      <c r="R141" s="58">
        <v>4</v>
      </c>
      <c r="S141" s="13">
        <v>5.5E-2</v>
      </c>
      <c r="T141" s="14">
        <v>-0.82799999999999996</v>
      </c>
      <c r="U141" s="14">
        <v>-0.55800000000000005</v>
      </c>
      <c r="V141" s="15">
        <v>38.43</v>
      </c>
    </row>
    <row r="142" spans="2:22" ht="15" thickBot="1" x14ac:dyDescent="0.35">
      <c r="B142" s="56"/>
      <c r="C142" s="56"/>
      <c r="D142" s="57"/>
      <c r="E142" s="41">
        <v>0</v>
      </c>
      <c r="F142" s="12">
        <v>0</v>
      </c>
      <c r="G142" s="12">
        <v>0</v>
      </c>
      <c r="H142" s="42">
        <v>1</v>
      </c>
      <c r="I142" s="47">
        <v>0</v>
      </c>
      <c r="J142" s="48">
        <v>0</v>
      </c>
      <c r="K142" s="48">
        <v>0</v>
      </c>
      <c r="L142" s="49">
        <v>1</v>
      </c>
      <c r="O142" s="68"/>
      <c r="P142" s="62"/>
      <c r="Q142" s="62"/>
      <c r="R142" s="59"/>
      <c r="S142" s="16">
        <v>-0.29599999999999999</v>
      </c>
      <c r="T142" s="11">
        <v>0.52</v>
      </c>
      <c r="U142" s="11">
        <v>-0.80100000000000005</v>
      </c>
      <c r="V142" s="17">
        <v>22.17</v>
      </c>
    </row>
    <row r="143" spans="2:22" x14ac:dyDescent="0.3">
      <c r="B143" s="56" t="s">
        <v>15</v>
      </c>
      <c r="C143" s="56" t="s">
        <v>6</v>
      </c>
      <c r="D143" s="57">
        <v>1</v>
      </c>
      <c r="E143" s="13">
        <v>0</v>
      </c>
      <c r="F143" s="14">
        <v>0</v>
      </c>
      <c r="G143" s="14">
        <v>1</v>
      </c>
      <c r="H143" s="15">
        <v>1.66</v>
      </c>
      <c r="I143" s="13" cm="1">
        <f t="array" ref="I143:L146">MMULT(MMULT(S5:V8,$S$25:$V$28),S169:V172)</f>
        <v>1.1260200000000001E-2</v>
      </c>
      <c r="J143" s="5">
        <v>0.99938920000000009</v>
      </c>
      <c r="K143" s="5">
        <v>-3.2867000000000014E-2</v>
      </c>
      <c r="L143" s="4">
        <v>3.7510499999999993</v>
      </c>
      <c r="O143" s="68"/>
      <c r="P143" s="62"/>
      <c r="Q143" s="62"/>
      <c r="R143" s="59"/>
      <c r="S143" s="16">
        <v>0.95399999999999996</v>
      </c>
      <c r="T143" s="11">
        <v>0.20899999999999999</v>
      </c>
      <c r="U143" s="11">
        <v>-0.216</v>
      </c>
      <c r="V143" s="17">
        <v>205.2</v>
      </c>
    </row>
    <row r="144" spans="2:22" ht="15" thickBot="1" x14ac:dyDescent="0.35">
      <c r="B144" s="56"/>
      <c r="C144" s="56"/>
      <c r="D144" s="57"/>
      <c r="E144" s="16">
        <v>0</v>
      </c>
      <c r="F144" s="11">
        <v>-1</v>
      </c>
      <c r="G144" s="11">
        <v>0</v>
      </c>
      <c r="H144" s="17">
        <v>547.67999999999995</v>
      </c>
      <c r="I144" s="43">
        <v>1.60737E-2</v>
      </c>
      <c r="J144" s="1">
        <v>3.2654000000000037E-2</v>
      </c>
      <c r="K144" s="1">
        <v>0.99944860000000002</v>
      </c>
      <c r="L144" s="2">
        <v>526.45751900000005</v>
      </c>
      <c r="O144" s="68"/>
      <c r="P144" s="62"/>
      <c r="Q144" s="62"/>
      <c r="R144" s="60"/>
      <c r="S144" s="18">
        <v>0</v>
      </c>
      <c r="T144" s="19">
        <v>0</v>
      </c>
      <c r="U144" s="19">
        <v>0</v>
      </c>
      <c r="V144" s="20">
        <v>1</v>
      </c>
    </row>
    <row r="145" spans="2:22" x14ac:dyDescent="0.3">
      <c r="B145" s="56"/>
      <c r="C145" s="56"/>
      <c r="D145" s="57"/>
      <c r="E145" s="16">
        <v>1</v>
      </c>
      <c r="F145" s="11">
        <v>0</v>
      </c>
      <c r="G145" s="11">
        <v>0</v>
      </c>
      <c r="H145" s="17">
        <v>-171.76</v>
      </c>
      <c r="I145" s="43">
        <v>0.99991209999999997</v>
      </c>
      <c r="J145" s="1">
        <v>-1.2071600000000002E-2</v>
      </c>
      <c r="K145" s="1">
        <v>-1.5651000000000002E-2</v>
      </c>
      <c r="L145" s="2">
        <v>-169.66226699999999</v>
      </c>
      <c r="O145" s="68"/>
      <c r="P145" s="62"/>
      <c r="Q145" s="62"/>
      <c r="R145" s="58">
        <v>5</v>
      </c>
      <c r="S145" s="13">
        <v>-0.182</v>
      </c>
      <c r="T145" s="14">
        <v>0.47299999999999998</v>
      </c>
      <c r="U145" s="14">
        <v>0.86199999999999999</v>
      </c>
      <c r="V145" s="15">
        <v>46.55</v>
      </c>
    </row>
    <row r="146" spans="2:22" ht="15" thickBot="1" x14ac:dyDescent="0.35">
      <c r="B146" s="56"/>
      <c r="C146" s="56"/>
      <c r="D146" s="57"/>
      <c r="E146" s="18">
        <v>0</v>
      </c>
      <c r="F146" s="19">
        <v>0</v>
      </c>
      <c r="G146" s="19">
        <v>0</v>
      </c>
      <c r="H146" s="20">
        <v>1</v>
      </c>
      <c r="I146" s="44">
        <v>0</v>
      </c>
      <c r="J146" s="6">
        <v>0</v>
      </c>
      <c r="K146" s="6">
        <v>0</v>
      </c>
      <c r="L146" s="3">
        <v>1</v>
      </c>
      <c r="O146" s="68"/>
      <c r="P146" s="62"/>
      <c r="Q146" s="62"/>
      <c r="R146" s="59"/>
      <c r="S146" s="16">
        <v>-0.32100000000000001</v>
      </c>
      <c r="T146" s="11">
        <v>-0.85699999999999998</v>
      </c>
      <c r="U146" s="11">
        <v>0.40300000000000002</v>
      </c>
      <c r="V146" s="17">
        <v>-2</v>
      </c>
    </row>
    <row r="147" spans="2:22" x14ac:dyDescent="0.3">
      <c r="B147" s="56"/>
      <c r="C147" s="56"/>
      <c r="D147" s="57">
        <v>2</v>
      </c>
      <c r="E147" s="35">
        <v>0</v>
      </c>
      <c r="F147" s="29">
        <v>0</v>
      </c>
      <c r="G147" s="29">
        <v>1</v>
      </c>
      <c r="H147" s="36">
        <v>1.66</v>
      </c>
      <c r="I147" s="13" cm="1">
        <f t="array" ref="I147:L150">MMULT(MMULT(S9:V12,$S$25:$V$28),S173:V176)</f>
        <v>2.6829099999999998E-2</v>
      </c>
      <c r="J147" s="5">
        <v>-2.6847699999999981E-2</v>
      </c>
      <c r="K147" s="5">
        <v>-0.99892320000000001</v>
      </c>
      <c r="L147" s="4">
        <v>2.8158019999999979</v>
      </c>
      <c r="O147" s="68"/>
      <c r="P147" s="62"/>
      <c r="Q147" s="62"/>
      <c r="R147" s="59"/>
      <c r="S147" s="16">
        <v>0.93</v>
      </c>
      <c r="T147" s="11">
        <v>-0.20300000000000001</v>
      </c>
      <c r="U147" s="11">
        <v>0.308</v>
      </c>
      <c r="V147" s="17">
        <v>183.85</v>
      </c>
    </row>
    <row r="148" spans="2:22" ht="15" thickBot="1" x14ac:dyDescent="0.35">
      <c r="B148" s="56"/>
      <c r="C148" s="56"/>
      <c r="D148" s="57"/>
      <c r="E148" s="16">
        <v>0</v>
      </c>
      <c r="F148" s="11">
        <v>-1</v>
      </c>
      <c r="G148" s="11">
        <v>0</v>
      </c>
      <c r="H148" s="17">
        <v>547.67999999999995</v>
      </c>
      <c r="I148" s="43">
        <v>3.7647E-2</v>
      </c>
      <c r="J148" s="1">
        <v>0.99864530000000007</v>
      </c>
      <c r="K148" s="1">
        <v>-2.5182599999999989E-2</v>
      </c>
      <c r="L148" s="2">
        <v>525.84478000000001</v>
      </c>
      <c r="O148" s="68"/>
      <c r="P148" s="63"/>
      <c r="Q148" s="63"/>
      <c r="R148" s="60"/>
      <c r="S148" s="18">
        <v>0</v>
      </c>
      <c r="T148" s="19">
        <v>0</v>
      </c>
      <c r="U148" s="19">
        <v>0</v>
      </c>
      <c r="V148" s="20">
        <v>1</v>
      </c>
    </row>
    <row r="149" spans="2:22" x14ac:dyDescent="0.3">
      <c r="B149" s="56"/>
      <c r="C149" s="56"/>
      <c r="D149" s="57"/>
      <c r="E149" s="16">
        <v>1</v>
      </c>
      <c r="F149" s="11">
        <v>0</v>
      </c>
      <c r="G149" s="11">
        <v>0</v>
      </c>
      <c r="H149" s="17">
        <v>-171.76</v>
      </c>
      <c r="I149" s="43">
        <v>0.99853329999999996</v>
      </c>
      <c r="J149" s="1">
        <v>-3.7724800000000003E-2</v>
      </c>
      <c r="K149" s="1">
        <v>3.4248199999999999E-2</v>
      </c>
      <c r="L149" s="2">
        <v>-170.30433400000001</v>
      </c>
      <c r="O149" s="68"/>
      <c r="P149" s="61" t="s">
        <v>15</v>
      </c>
      <c r="Q149" s="61" t="s">
        <v>5</v>
      </c>
      <c r="R149" s="58">
        <v>1</v>
      </c>
      <c r="S149" s="13">
        <v>-0.39900000000000002</v>
      </c>
      <c r="T149" s="14">
        <v>1.7000000000000001E-2</v>
      </c>
      <c r="U149" s="14">
        <v>-0.91600000000000004</v>
      </c>
      <c r="V149" s="15">
        <v>-16.07</v>
      </c>
    </row>
    <row r="150" spans="2:22" ht="15" thickBot="1" x14ac:dyDescent="0.35">
      <c r="B150" s="56"/>
      <c r="C150" s="56"/>
      <c r="D150" s="57"/>
      <c r="E150" s="41">
        <v>0</v>
      </c>
      <c r="F150" s="12">
        <v>0</v>
      </c>
      <c r="G150" s="12">
        <v>0</v>
      </c>
      <c r="H150" s="42">
        <v>1</v>
      </c>
      <c r="I150" s="44">
        <v>0</v>
      </c>
      <c r="J150" s="6">
        <v>0</v>
      </c>
      <c r="K150" s="6">
        <v>0</v>
      </c>
      <c r="L150" s="3">
        <v>1</v>
      </c>
      <c r="O150" s="68"/>
      <c r="P150" s="62"/>
      <c r="Q150" s="62"/>
      <c r="R150" s="59"/>
      <c r="S150" s="16">
        <v>0.91700000000000004</v>
      </c>
      <c r="T150" s="11">
        <v>1.2999999999999999E-2</v>
      </c>
      <c r="U150" s="11">
        <v>-0.39900000000000002</v>
      </c>
      <c r="V150" s="17">
        <v>3.54</v>
      </c>
    </row>
    <row r="151" spans="2:22" x14ac:dyDescent="0.3">
      <c r="B151" s="56"/>
      <c r="C151" s="56"/>
      <c r="D151" s="57">
        <v>3</v>
      </c>
      <c r="E151" s="13">
        <v>0</v>
      </c>
      <c r="F151" s="14">
        <v>0</v>
      </c>
      <c r="G151" s="14">
        <v>1</v>
      </c>
      <c r="H151" s="15">
        <v>1.66</v>
      </c>
      <c r="I151" s="35" cm="1">
        <f t="array" ref="I151:L154">MMULT(MMULT(S13:V16,$S$25:$V$28),S177:V180)</f>
        <v>1.4478999999999999E-2</v>
      </c>
      <c r="J151" s="45">
        <v>-3.6696799999999974E-2</v>
      </c>
      <c r="K151" s="45">
        <v>-0.99955010000000011</v>
      </c>
      <c r="L151" s="46">
        <v>3.8094410000000019</v>
      </c>
      <c r="O151" s="68"/>
      <c r="P151" s="62"/>
      <c r="Q151" s="62"/>
      <c r="R151" s="59"/>
      <c r="S151" s="16">
        <v>5.0000000000000001E-3</v>
      </c>
      <c r="T151" s="11">
        <v>-0.999</v>
      </c>
      <c r="U151" s="11">
        <v>-2.1000000000000001E-2</v>
      </c>
      <c r="V151" s="17">
        <v>240.68</v>
      </c>
    </row>
    <row r="152" spans="2:22" ht="15" thickBot="1" x14ac:dyDescent="0.35">
      <c r="B152" s="56"/>
      <c r="C152" s="56"/>
      <c r="D152" s="57"/>
      <c r="E152" s="16">
        <v>0</v>
      </c>
      <c r="F152" s="11">
        <v>-1</v>
      </c>
      <c r="G152" s="11">
        <v>0</v>
      </c>
      <c r="H152" s="17">
        <v>547.67999999999995</v>
      </c>
      <c r="I152" s="43">
        <v>1.20626E-2</v>
      </c>
      <c r="J152" s="1">
        <v>0.99955020000000006</v>
      </c>
      <c r="K152" s="1">
        <v>-3.6475400000000033E-2</v>
      </c>
      <c r="L152" s="2">
        <v>527.389411</v>
      </c>
      <c r="O152" s="68"/>
      <c r="P152" s="62"/>
      <c r="Q152" s="62"/>
      <c r="R152" s="60"/>
      <c r="S152" s="18">
        <v>0</v>
      </c>
      <c r="T152" s="19">
        <v>0</v>
      </c>
      <c r="U152" s="19">
        <v>0</v>
      </c>
      <c r="V152" s="20">
        <v>1</v>
      </c>
    </row>
    <row r="153" spans="2:22" x14ac:dyDescent="0.3">
      <c r="B153" s="56"/>
      <c r="C153" s="56"/>
      <c r="D153" s="57"/>
      <c r="E153" s="16">
        <v>1</v>
      </c>
      <c r="F153" s="11">
        <v>0</v>
      </c>
      <c r="G153" s="11">
        <v>0</v>
      </c>
      <c r="H153" s="17">
        <v>-171.76</v>
      </c>
      <c r="I153" s="43">
        <v>0.99989000000000006</v>
      </c>
      <c r="J153" s="1">
        <v>-1.15666E-2</v>
      </c>
      <c r="K153" s="1">
        <v>1.5324100000000002E-2</v>
      </c>
      <c r="L153" s="2">
        <v>-171.142584</v>
      </c>
      <c r="O153" s="68"/>
      <c r="P153" s="62"/>
      <c r="Q153" s="62"/>
      <c r="R153" s="58">
        <v>2</v>
      </c>
      <c r="S153" s="13">
        <v>-0.4</v>
      </c>
      <c r="T153" s="14">
        <v>-3.0000000000000001E-3</v>
      </c>
      <c r="U153" s="14">
        <v>-0.91700000000000004</v>
      </c>
      <c r="V153" s="15">
        <v>-63.74</v>
      </c>
    </row>
    <row r="154" spans="2:22" ht="15" thickBot="1" x14ac:dyDescent="0.35">
      <c r="B154" s="56"/>
      <c r="C154" s="56"/>
      <c r="D154" s="57"/>
      <c r="E154" s="18">
        <v>0</v>
      </c>
      <c r="F154" s="19">
        <v>0</v>
      </c>
      <c r="G154" s="19">
        <v>0</v>
      </c>
      <c r="H154" s="20">
        <v>1</v>
      </c>
      <c r="I154" s="44">
        <v>0</v>
      </c>
      <c r="J154" s="6">
        <v>0</v>
      </c>
      <c r="K154" s="6">
        <v>0</v>
      </c>
      <c r="L154" s="3">
        <v>1</v>
      </c>
      <c r="O154" s="68"/>
      <c r="P154" s="62"/>
      <c r="Q154" s="62"/>
      <c r="R154" s="59"/>
      <c r="S154" s="16">
        <v>0.91600000000000004</v>
      </c>
      <c r="T154" s="11">
        <v>-1.2999999999999999E-2</v>
      </c>
      <c r="U154" s="11">
        <v>-0.4</v>
      </c>
      <c r="V154" s="17">
        <v>-19.09</v>
      </c>
    </row>
    <row r="155" spans="2:22" x14ac:dyDescent="0.3">
      <c r="B155" s="56"/>
      <c r="C155" s="56"/>
      <c r="D155" s="57">
        <v>4</v>
      </c>
      <c r="E155" s="35">
        <v>0</v>
      </c>
      <c r="F155" s="29">
        <v>0</v>
      </c>
      <c r="G155" s="29">
        <v>1</v>
      </c>
      <c r="H155" s="36">
        <v>1.66</v>
      </c>
      <c r="I155" s="35" cm="1">
        <f t="array" ref="I155:L158">MMULT(MMULT(S17:V20,$S$25:$V$28),S181:V184)</f>
        <v>-2.8013400000000022E-2</v>
      </c>
      <c r="J155" s="45">
        <v>0.99928159999999999</v>
      </c>
      <c r="K155" s="45">
        <v>2.0822599999999997E-2</v>
      </c>
      <c r="L155" s="46">
        <v>-2.7981079999999849</v>
      </c>
      <c r="O155" s="68"/>
      <c r="P155" s="62"/>
      <c r="Q155" s="62"/>
      <c r="R155" s="59"/>
      <c r="S155" s="16">
        <v>-0.01</v>
      </c>
      <c r="T155" s="11">
        <v>-1</v>
      </c>
      <c r="U155" s="11">
        <v>8.0000000000000002E-3</v>
      </c>
      <c r="V155" s="17">
        <v>242.83</v>
      </c>
    </row>
    <row r="156" spans="2:22" ht="15" thickBot="1" x14ac:dyDescent="0.35">
      <c r="B156" s="56"/>
      <c r="C156" s="56"/>
      <c r="D156" s="57"/>
      <c r="E156" s="16">
        <v>0</v>
      </c>
      <c r="F156" s="11">
        <v>-1</v>
      </c>
      <c r="G156" s="11">
        <v>0</v>
      </c>
      <c r="H156" s="17">
        <v>547.67999999999995</v>
      </c>
      <c r="I156" s="43">
        <v>-2.3005699999999997E-2</v>
      </c>
      <c r="J156" s="1">
        <v>2.0403699999999997E-2</v>
      </c>
      <c r="K156" s="1">
        <v>-0.99928210000000006</v>
      </c>
      <c r="L156" s="2">
        <v>528.50940700000001</v>
      </c>
      <c r="O156" s="68"/>
      <c r="P156" s="62"/>
      <c r="Q156" s="62"/>
      <c r="R156" s="60"/>
      <c r="S156" s="18">
        <v>0</v>
      </c>
      <c r="T156" s="19">
        <v>0</v>
      </c>
      <c r="U156" s="19">
        <v>0</v>
      </c>
      <c r="V156" s="20">
        <v>1</v>
      </c>
    </row>
    <row r="157" spans="2:22" x14ac:dyDescent="0.3">
      <c r="B157" s="56"/>
      <c r="C157" s="56"/>
      <c r="D157" s="57"/>
      <c r="E157" s="16">
        <v>1</v>
      </c>
      <c r="F157" s="11">
        <v>0</v>
      </c>
      <c r="G157" s="11">
        <v>0</v>
      </c>
      <c r="H157" s="17">
        <v>-171.76</v>
      </c>
      <c r="I157" s="43">
        <v>-0.99970279999999989</v>
      </c>
      <c r="J157" s="1">
        <v>-2.8542100000000015E-2</v>
      </c>
      <c r="K157" s="1">
        <v>2.2935300000000002E-2</v>
      </c>
      <c r="L157" s="2">
        <v>-153.85647100000003</v>
      </c>
      <c r="O157" s="68"/>
      <c r="P157" s="62"/>
      <c r="Q157" s="62"/>
      <c r="R157" s="58">
        <v>3</v>
      </c>
      <c r="S157" s="13">
        <v>-0.39500000000000002</v>
      </c>
      <c r="T157" s="14">
        <v>-1.6E-2</v>
      </c>
      <c r="U157" s="14">
        <v>-0.91800000000000004</v>
      </c>
      <c r="V157" s="15">
        <v>3.98</v>
      </c>
    </row>
    <row r="158" spans="2:22" ht="15" thickBot="1" x14ac:dyDescent="0.35">
      <c r="B158" s="56"/>
      <c r="C158" s="56"/>
      <c r="D158" s="57"/>
      <c r="E158" s="41">
        <v>0</v>
      </c>
      <c r="F158" s="12">
        <v>0</v>
      </c>
      <c r="G158" s="12">
        <v>0</v>
      </c>
      <c r="H158" s="42">
        <v>1</v>
      </c>
      <c r="I158" s="47">
        <v>0</v>
      </c>
      <c r="J158" s="48">
        <v>0</v>
      </c>
      <c r="K158" s="48">
        <v>0</v>
      </c>
      <c r="L158" s="49">
        <v>1</v>
      </c>
      <c r="O158" s="68"/>
      <c r="P158" s="62"/>
      <c r="Q158" s="62"/>
      <c r="R158" s="59"/>
      <c r="S158" s="16">
        <v>0.91900000000000004</v>
      </c>
      <c r="T158" s="11">
        <v>-0.01</v>
      </c>
      <c r="U158" s="11">
        <v>-0.39500000000000002</v>
      </c>
      <c r="V158" s="17">
        <v>-44.26</v>
      </c>
    </row>
    <row r="159" spans="2:22" x14ac:dyDescent="0.3">
      <c r="B159" s="56"/>
      <c r="C159" s="56"/>
      <c r="D159" s="57">
        <v>5</v>
      </c>
      <c r="E159" s="13">
        <v>0</v>
      </c>
      <c r="F159" s="14">
        <v>0</v>
      </c>
      <c r="G159" s="14">
        <v>1</v>
      </c>
      <c r="H159" s="15">
        <v>1.66</v>
      </c>
      <c r="I159" s="13" cm="1">
        <f t="array" ref="I159:L162">MMULT(MMULT(S21:V24,$S$25:$V$28),S185:V188)</f>
        <v>-0.98490110000000008</v>
      </c>
      <c r="J159" s="5">
        <v>0.1218234</v>
      </c>
      <c r="K159" s="5">
        <v>-0.12152199999999999</v>
      </c>
      <c r="L159" s="4">
        <v>-19.068211999999995</v>
      </c>
      <c r="O159" s="68"/>
      <c r="P159" s="62"/>
      <c r="Q159" s="62"/>
      <c r="R159" s="59"/>
      <c r="S159" s="16">
        <v>-3.0000000000000001E-3</v>
      </c>
      <c r="T159" s="11">
        <v>-1</v>
      </c>
      <c r="U159" s="11">
        <v>1.9E-2</v>
      </c>
      <c r="V159" s="17">
        <v>241.07</v>
      </c>
    </row>
    <row r="160" spans="2:22" ht="15" thickBot="1" x14ac:dyDescent="0.35">
      <c r="B160" s="56"/>
      <c r="C160" s="56"/>
      <c r="D160" s="57"/>
      <c r="E160" s="16">
        <v>0</v>
      </c>
      <c r="F160" s="11">
        <v>-1</v>
      </c>
      <c r="G160" s="11">
        <v>0</v>
      </c>
      <c r="H160" s="17">
        <v>547.67999999999995</v>
      </c>
      <c r="I160" s="43">
        <v>0.17209140000000006</v>
      </c>
      <c r="J160" s="1">
        <v>0.69812390000000002</v>
      </c>
      <c r="K160" s="1">
        <v>-0.69501100000000005</v>
      </c>
      <c r="L160" s="2">
        <v>466.30253500000003</v>
      </c>
      <c r="O160" s="68"/>
      <c r="P160" s="62"/>
      <c r="Q160" s="62"/>
      <c r="R160" s="60"/>
      <c r="S160" s="18">
        <v>0</v>
      </c>
      <c r="T160" s="19">
        <v>0</v>
      </c>
      <c r="U160" s="19">
        <v>0</v>
      </c>
      <c r="V160" s="20">
        <v>1</v>
      </c>
    </row>
    <row r="161" spans="2:22" x14ac:dyDescent="0.3">
      <c r="B161" s="56"/>
      <c r="C161" s="56"/>
      <c r="D161" s="57"/>
      <c r="E161" s="16">
        <v>1</v>
      </c>
      <c r="F161" s="11">
        <v>0</v>
      </c>
      <c r="G161" s="11">
        <v>0</v>
      </c>
      <c r="H161" s="17">
        <v>-171.76</v>
      </c>
      <c r="I161" s="43">
        <v>4.9949999999991668E-4</v>
      </c>
      <c r="J161" s="1">
        <v>-0.70531969999999999</v>
      </c>
      <c r="K161" s="1">
        <v>-0.70910779999999995</v>
      </c>
      <c r="L161" s="2">
        <v>-251.737675</v>
      </c>
      <c r="O161" s="68"/>
      <c r="P161" s="62"/>
      <c r="Q161" s="62"/>
      <c r="R161" s="58">
        <v>4</v>
      </c>
      <c r="S161" s="13">
        <v>0.57999999999999996</v>
      </c>
      <c r="T161" s="14">
        <v>0.223</v>
      </c>
      <c r="U161" s="14">
        <v>0.78400000000000003</v>
      </c>
      <c r="V161" s="15">
        <v>43.57</v>
      </c>
    </row>
    <row r="162" spans="2:22" ht="15" thickBot="1" x14ac:dyDescent="0.35">
      <c r="B162" s="56"/>
      <c r="C162" s="56"/>
      <c r="D162" s="57"/>
      <c r="E162" s="18">
        <v>0</v>
      </c>
      <c r="F162" s="19">
        <v>0</v>
      </c>
      <c r="G162" s="19">
        <v>0</v>
      </c>
      <c r="H162" s="20">
        <v>1</v>
      </c>
      <c r="I162" s="44">
        <v>0</v>
      </c>
      <c r="J162" s="6">
        <v>0</v>
      </c>
      <c r="K162" s="6">
        <v>0</v>
      </c>
      <c r="L162" s="3">
        <v>1</v>
      </c>
      <c r="O162" s="68"/>
      <c r="P162" s="62"/>
      <c r="Q162" s="62"/>
      <c r="R162" s="59"/>
      <c r="S162" s="16">
        <v>-0.53100000000000003</v>
      </c>
      <c r="T162" s="11">
        <v>-0.626</v>
      </c>
      <c r="U162" s="11">
        <v>0.57099999999999995</v>
      </c>
      <c r="V162" s="17">
        <v>48.17</v>
      </c>
    </row>
    <row r="163" spans="2:22" x14ac:dyDescent="0.3">
      <c r="O163" s="68"/>
      <c r="P163" s="62"/>
      <c r="Q163" s="62"/>
      <c r="R163" s="59"/>
      <c r="S163" s="16">
        <v>0.61799999999999999</v>
      </c>
      <c r="T163" s="11">
        <v>-0.747</v>
      </c>
      <c r="U163" s="11">
        <v>-0.245</v>
      </c>
      <c r="V163" s="17">
        <v>218.75</v>
      </c>
    </row>
    <row r="164" spans="2:22" ht="15" thickBot="1" x14ac:dyDescent="0.35">
      <c r="O164" s="68"/>
      <c r="P164" s="62"/>
      <c r="Q164" s="62"/>
      <c r="R164" s="60"/>
      <c r="S164" s="18">
        <v>0</v>
      </c>
      <c r="T164" s="19">
        <v>0</v>
      </c>
      <c r="U164" s="19">
        <v>0</v>
      </c>
      <c r="V164" s="20">
        <v>1</v>
      </c>
    </row>
    <row r="165" spans="2:22" x14ac:dyDescent="0.3">
      <c r="O165" s="68"/>
      <c r="P165" s="62"/>
      <c r="Q165" s="62"/>
      <c r="R165" s="58">
        <v>5</v>
      </c>
      <c r="S165" s="13">
        <v>-0.628</v>
      </c>
      <c r="T165" s="14">
        <v>-0.52600000000000002</v>
      </c>
      <c r="U165" s="14">
        <v>-0.57399999999999995</v>
      </c>
      <c r="V165" s="15">
        <v>46.08</v>
      </c>
    </row>
    <row r="166" spans="2:22" x14ac:dyDescent="0.3">
      <c r="O166" s="68"/>
      <c r="P166" s="62"/>
      <c r="Q166" s="62"/>
      <c r="R166" s="59"/>
      <c r="S166" s="16">
        <v>-0.443</v>
      </c>
      <c r="T166" s="11">
        <v>-0.84799999999999998</v>
      </c>
      <c r="U166" s="11">
        <v>-0.29199999999999998</v>
      </c>
      <c r="V166" s="17">
        <v>29.12</v>
      </c>
    </row>
    <row r="167" spans="2:22" x14ac:dyDescent="0.3">
      <c r="O167" s="68"/>
      <c r="P167" s="62"/>
      <c r="Q167" s="62"/>
      <c r="R167" s="59"/>
      <c r="S167" s="16">
        <v>0.63400000000000001</v>
      </c>
      <c r="T167" s="11">
        <v>7.0999999999999994E-2</v>
      </c>
      <c r="U167" s="11">
        <v>-0.76500000000000001</v>
      </c>
      <c r="V167" s="17">
        <v>172.87</v>
      </c>
    </row>
    <row r="168" spans="2:22" ht="15" thickBot="1" x14ac:dyDescent="0.35">
      <c r="O168" s="68"/>
      <c r="P168" s="63"/>
      <c r="Q168" s="63"/>
      <c r="R168" s="60"/>
      <c r="S168" s="18">
        <v>0</v>
      </c>
      <c r="T168" s="19">
        <v>0</v>
      </c>
      <c r="U168" s="19">
        <v>0</v>
      </c>
      <c r="V168" s="20">
        <v>1</v>
      </c>
    </row>
    <row r="169" spans="2:22" x14ac:dyDescent="0.3">
      <c r="O169" s="68"/>
      <c r="P169" s="61" t="s">
        <v>15</v>
      </c>
      <c r="Q169" s="61" t="s">
        <v>6</v>
      </c>
      <c r="R169" s="58">
        <v>1</v>
      </c>
      <c r="S169" s="13">
        <v>-1.0999999999999999E-2</v>
      </c>
      <c r="T169" s="14">
        <v>0.39200000000000002</v>
      </c>
      <c r="U169" s="14">
        <v>-0.92</v>
      </c>
      <c r="V169" s="15">
        <v>-30.92</v>
      </c>
    </row>
    <row r="170" spans="2:22" x14ac:dyDescent="0.3">
      <c r="O170" s="68"/>
      <c r="P170" s="62"/>
      <c r="Q170" s="62"/>
      <c r="R170" s="59"/>
      <c r="S170" s="16">
        <v>0</v>
      </c>
      <c r="T170" s="11">
        <v>-0.92</v>
      </c>
      <c r="U170" s="11">
        <v>-0.39200000000000002</v>
      </c>
      <c r="V170" s="17">
        <v>36.93</v>
      </c>
    </row>
    <row r="171" spans="2:22" x14ac:dyDescent="0.3">
      <c r="O171" s="68"/>
      <c r="P171" s="62"/>
      <c r="Q171" s="62"/>
      <c r="R171" s="59"/>
      <c r="S171" s="16">
        <v>-1</v>
      </c>
      <c r="T171" s="11">
        <v>-4.0000000000000001E-3</v>
      </c>
      <c r="U171" s="11">
        <v>0.01</v>
      </c>
      <c r="V171" s="17">
        <v>250.81</v>
      </c>
    </row>
    <row r="172" spans="2:22" ht="15" thickBot="1" x14ac:dyDescent="0.35">
      <c r="O172" s="68"/>
      <c r="P172" s="62"/>
      <c r="Q172" s="62"/>
      <c r="R172" s="60"/>
      <c r="S172" s="18">
        <v>0</v>
      </c>
      <c r="T172" s="19">
        <v>0</v>
      </c>
      <c r="U172" s="19">
        <v>0</v>
      </c>
      <c r="V172" s="20">
        <v>1</v>
      </c>
    </row>
    <row r="173" spans="2:22" x14ac:dyDescent="0.3">
      <c r="O173" s="68"/>
      <c r="P173" s="62"/>
      <c r="Q173" s="62"/>
      <c r="R173" s="58">
        <v>2</v>
      </c>
      <c r="S173" s="13">
        <v>-2.4E-2</v>
      </c>
      <c r="T173" s="14">
        <v>-0.91700000000000004</v>
      </c>
      <c r="U173" s="14">
        <v>-0.39800000000000002</v>
      </c>
      <c r="V173" s="15">
        <v>-78.28</v>
      </c>
    </row>
    <row r="174" spans="2:22" x14ac:dyDescent="0.3">
      <c r="O174" s="68"/>
      <c r="P174" s="62"/>
      <c r="Q174" s="62"/>
      <c r="R174" s="59"/>
      <c r="S174" s="16">
        <v>-2.3E-2</v>
      </c>
      <c r="T174" s="11">
        <v>-0.39700000000000002</v>
      </c>
      <c r="U174" s="11">
        <v>0.91700000000000004</v>
      </c>
      <c r="V174" s="17">
        <v>14.29</v>
      </c>
    </row>
    <row r="175" spans="2:22" x14ac:dyDescent="0.3">
      <c r="O175" s="68"/>
      <c r="P175" s="62"/>
      <c r="Q175" s="62"/>
      <c r="R175" s="59"/>
      <c r="S175" s="16">
        <v>-0.999</v>
      </c>
      <c r="T175" s="11">
        <v>3.2000000000000001E-2</v>
      </c>
      <c r="U175" s="11">
        <v>-1.7999999999999999E-2</v>
      </c>
      <c r="V175" s="17">
        <v>251.12</v>
      </c>
    </row>
    <row r="176" spans="2:22" ht="15" thickBot="1" x14ac:dyDescent="0.35">
      <c r="O176" s="68"/>
      <c r="P176" s="62"/>
      <c r="Q176" s="62"/>
      <c r="R176" s="60"/>
      <c r="S176" s="18">
        <v>0</v>
      </c>
      <c r="T176" s="19">
        <v>0</v>
      </c>
      <c r="U176" s="19">
        <v>0</v>
      </c>
      <c r="V176" s="20">
        <v>1</v>
      </c>
    </row>
    <row r="177" spans="15:22" x14ac:dyDescent="0.3">
      <c r="O177" s="68"/>
      <c r="P177" s="62"/>
      <c r="Q177" s="62"/>
      <c r="R177" s="58">
        <v>3</v>
      </c>
      <c r="S177" s="13">
        <v>-6.0000000000000001E-3</v>
      </c>
      <c r="T177" s="14">
        <v>-0.92200000000000004</v>
      </c>
      <c r="U177" s="14">
        <v>-0.38800000000000001</v>
      </c>
      <c r="V177" s="15">
        <v>-10.87</v>
      </c>
    </row>
    <row r="178" spans="15:22" x14ac:dyDescent="0.3">
      <c r="O178" s="68"/>
      <c r="P178" s="62"/>
      <c r="Q178" s="62"/>
      <c r="R178" s="59"/>
      <c r="S178" s="16">
        <v>-1E-3</v>
      </c>
      <c r="T178" s="11">
        <v>-0.38800000000000001</v>
      </c>
      <c r="U178" s="11">
        <v>0.92200000000000004</v>
      </c>
      <c r="V178" s="17">
        <v>-11.14</v>
      </c>
    </row>
    <row r="179" spans="15:22" x14ac:dyDescent="0.3">
      <c r="O179" s="68"/>
      <c r="P179" s="62"/>
      <c r="Q179" s="62"/>
      <c r="R179" s="59"/>
      <c r="S179" s="16">
        <v>-1</v>
      </c>
      <c r="T179" s="11">
        <v>6.0000000000000001E-3</v>
      </c>
      <c r="U179" s="11">
        <v>1E-3</v>
      </c>
      <c r="V179" s="17">
        <v>251.5</v>
      </c>
    </row>
    <row r="180" spans="15:22" ht="15" thickBot="1" x14ac:dyDescent="0.35">
      <c r="O180" s="68"/>
      <c r="P180" s="62"/>
      <c r="Q180" s="62"/>
      <c r="R180" s="60"/>
      <c r="S180" s="18">
        <v>0</v>
      </c>
      <c r="T180" s="19">
        <v>0</v>
      </c>
      <c r="U180" s="19">
        <v>0</v>
      </c>
      <c r="V180" s="20">
        <v>1</v>
      </c>
    </row>
    <row r="181" spans="15:22" x14ac:dyDescent="0.3">
      <c r="O181" s="68"/>
      <c r="P181" s="62"/>
      <c r="Q181" s="62"/>
      <c r="R181" s="58">
        <v>4</v>
      </c>
      <c r="S181" s="13">
        <v>1.7999999999999999E-2</v>
      </c>
      <c r="T181" s="14">
        <v>3.3000000000000002E-2</v>
      </c>
      <c r="U181" s="14">
        <v>0.999</v>
      </c>
      <c r="V181" s="15">
        <v>37.549999999999997</v>
      </c>
    </row>
    <row r="182" spans="15:22" x14ac:dyDescent="0.3">
      <c r="O182" s="68"/>
      <c r="P182" s="62"/>
      <c r="Q182" s="62"/>
      <c r="R182" s="59"/>
      <c r="S182" s="16">
        <v>0.86099999999999999</v>
      </c>
      <c r="T182" s="11">
        <v>-0.50900000000000001</v>
      </c>
      <c r="U182" s="11">
        <v>1E-3</v>
      </c>
      <c r="V182" s="17">
        <v>24.17</v>
      </c>
    </row>
    <row r="183" spans="15:22" x14ac:dyDescent="0.3">
      <c r="O183" s="68"/>
      <c r="P183" s="62"/>
      <c r="Q183" s="62"/>
      <c r="R183" s="59"/>
      <c r="S183" s="16">
        <v>0.50900000000000001</v>
      </c>
      <c r="T183" s="11">
        <v>0.86</v>
      </c>
      <c r="U183" s="11">
        <v>-3.7999999999999999E-2</v>
      </c>
      <c r="V183" s="17">
        <v>192.58</v>
      </c>
    </row>
    <row r="184" spans="15:22" ht="15" thickBot="1" x14ac:dyDescent="0.35">
      <c r="O184" s="68"/>
      <c r="P184" s="62"/>
      <c r="Q184" s="62"/>
      <c r="R184" s="60"/>
      <c r="S184" s="18">
        <v>0</v>
      </c>
      <c r="T184" s="19">
        <v>0</v>
      </c>
      <c r="U184" s="19">
        <v>0</v>
      </c>
      <c r="V184" s="20">
        <v>1</v>
      </c>
    </row>
    <row r="185" spans="15:22" x14ac:dyDescent="0.3">
      <c r="O185" s="68"/>
      <c r="P185" s="62"/>
      <c r="Q185" s="62"/>
      <c r="R185" s="58">
        <v>5</v>
      </c>
      <c r="S185" s="13">
        <v>-0.66800000000000004</v>
      </c>
      <c r="T185" s="14">
        <v>-0.73099999999999998</v>
      </c>
      <c r="U185" s="14">
        <v>0.13800000000000001</v>
      </c>
      <c r="V185" s="15">
        <v>3.33</v>
      </c>
    </row>
    <row r="186" spans="15:22" x14ac:dyDescent="0.3">
      <c r="O186" s="68"/>
      <c r="P186" s="62"/>
      <c r="Q186" s="62"/>
      <c r="R186" s="59"/>
      <c r="S186" s="16">
        <v>0.73399999999999999</v>
      </c>
      <c r="T186" s="11">
        <v>-0.67800000000000005</v>
      </c>
      <c r="U186" s="11">
        <v>-3.7999999999999999E-2</v>
      </c>
      <c r="V186" s="17">
        <v>6.24</v>
      </c>
    </row>
    <row r="187" spans="15:22" x14ac:dyDescent="0.3">
      <c r="O187" s="68"/>
      <c r="P187" s="62"/>
      <c r="Q187" s="62"/>
      <c r="R187" s="59"/>
      <c r="S187" s="16">
        <v>0.121</v>
      </c>
      <c r="T187" s="11">
        <v>7.5999999999999998E-2</v>
      </c>
      <c r="U187" s="11">
        <v>0.99</v>
      </c>
      <c r="V187" s="17">
        <v>264.58</v>
      </c>
    </row>
    <row r="188" spans="15:22" ht="15" thickBot="1" x14ac:dyDescent="0.35">
      <c r="O188" s="69"/>
      <c r="P188" s="63"/>
      <c r="Q188" s="63"/>
      <c r="R188" s="60"/>
      <c r="S188" s="18">
        <v>0</v>
      </c>
      <c r="T188" s="19">
        <v>0</v>
      </c>
      <c r="U188" s="19">
        <v>0</v>
      </c>
      <c r="V188" s="20">
        <v>1</v>
      </c>
    </row>
  </sheetData>
  <mergeCells count="130">
    <mergeCell ref="R9:R12"/>
    <mergeCell ref="R13:R16"/>
    <mergeCell ref="Q5:Q24"/>
    <mergeCell ref="O4:O24"/>
    <mergeCell ref="P169:P188"/>
    <mergeCell ref="Q169:Q188"/>
    <mergeCell ref="R169:R172"/>
    <mergeCell ref="R173:R176"/>
    <mergeCell ref="R177:R180"/>
    <mergeCell ref="R181:R184"/>
    <mergeCell ref="R185:R188"/>
    <mergeCell ref="O109:O188"/>
    <mergeCell ref="R69:R72"/>
    <mergeCell ref="O25:O28"/>
    <mergeCell ref="Q25:Q28"/>
    <mergeCell ref="R25:R28"/>
    <mergeCell ref="Q29:Q48"/>
    <mergeCell ref="R29:R32"/>
    <mergeCell ref="R33:R36"/>
    <mergeCell ref="R37:R40"/>
    <mergeCell ref="R41:R44"/>
    <mergeCell ref="B3:B22"/>
    <mergeCell ref="B23:B42"/>
    <mergeCell ref="B43:B62"/>
    <mergeCell ref="B63:B82"/>
    <mergeCell ref="C63:C82"/>
    <mergeCell ref="C43:C62"/>
    <mergeCell ref="O29:O108"/>
    <mergeCell ref="I2:L2"/>
    <mergeCell ref="E2:H2"/>
    <mergeCell ref="C3:C22"/>
    <mergeCell ref="C23:C42"/>
    <mergeCell ref="D3:D6"/>
    <mergeCell ref="D7:D10"/>
    <mergeCell ref="D11:D14"/>
    <mergeCell ref="D15:D18"/>
    <mergeCell ref="D75:D78"/>
    <mergeCell ref="D79:D82"/>
    <mergeCell ref="S4:V4"/>
    <mergeCell ref="P5:P24"/>
    <mergeCell ref="P29:P48"/>
    <mergeCell ref="P49:P68"/>
    <mergeCell ref="P69:P88"/>
    <mergeCell ref="D43:D46"/>
    <mergeCell ref="D47:D50"/>
    <mergeCell ref="D51:D54"/>
    <mergeCell ref="D55:D58"/>
    <mergeCell ref="D59:D62"/>
    <mergeCell ref="D63:D66"/>
    <mergeCell ref="D19:D22"/>
    <mergeCell ref="D23:D26"/>
    <mergeCell ref="D27:D30"/>
    <mergeCell ref="D31:D34"/>
    <mergeCell ref="D35:D38"/>
    <mergeCell ref="D39:D42"/>
    <mergeCell ref="Q69:Q88"/>
    <mergeCell ref="R45:R48"/>
    <mergeCell ref="R21:R24"/>
    <mergeCell ref="R17:R20"/>
    <mergeCell ref="R5:R8"/>
    <mergeCell ref="P25:P28"/>
    <mergeCell ref="P109:P128"/>
    <mergeCell ref="Q109:Q128"/>
    <mergeCell ref="R109:R112"/>
    <mergeCell ref="R113:R116"/>
    <mergeCell ref="R117:R120"/>
    <mergeCell ref="R121:R124"/>
    <mergeCell ref="R125:R128"/>
    <mergeCell ref="R97:R100"/>
    <mergeCell ref="R101:R104"/>
    <mergeCell ref="R105:R108"/>
    <mergeCell ref="Q89:Q108"/>
    <mergeCell ref="R73:R76"/>
    <mergeCell ref="R77:R80"/>
    <mergeCell ref="R81:R84"/>
    <mergeCell ref="R85:R88"/>
    <mergeCell ref="R89:R92"/>
    <mergeCell ref="R93:R96"/>
    <mergeCell ref="R49:R52"/>
    <mergeCell ref="R53:R56"/>
    <mergeCell ref="R57:R60"/>
    <mergeCell ref="R61:R64"/>
    <mergeCell ref="D103:D106"/>
    <mergeCell ref="D107:D110"/>
    <mergeCell ref="D111:D114"/>
    <mergeCell ref="D115:D118"/>
    <mergeCell ref="D119:D122"/>
    <mergeCell ref="R65:R68"/>
    <mergeCell ref="P149:P168"/>
    <mergeCell ref="Q149:Q168"/>
    <mergeCell ref="R149:R152"/>
    <mergeCell ref="R153:R156"/>
    <mergeCell ref="R157:R160"/>
    <mergeCell ref="R161:R164"/>
    <mergeCell ref="R165:R168"/>
    <mergeCell ref="P129:P148"/>
    <mergeCell ref="Q129:Q148"/>
    <mergeCell ref="R129:R132"/>
    <mergeCell ref="R133:R136"/>
    <mergeCell ref="R137:R140"/>
    <mergeCell ref="R141:R144"/>
    <mergeCell ref="R145:R148"/>
    <mergeCell ref="Q49:Q68"/>
    <mergeCell ref="P89:P108"/>
    <mergeCell ref="D67:D70"/>
    <mergeCell ref="D71:D74"/>
    <mergeCell ref="O2:V3"/>
    <mergeCell ref="B123:B142"/>
    <mergeCell ref="C123:C142"/>
    <mergeCell ref="D123:D126"/>
    <mergeCell ref="D127:D130"/>
    <mergeCell ref="D131:D134"/>
    <mergeCell ref="D135:D138"/>
    <mergeCell ref="D139:D142"/>
    <mergeCell ref="B143:B162"/>
    <mergeCell ref="C143:C162"/>
    <mergeCell ref="D143:D146"/>
    <mergeCell ref="D147:D150"/>
    <mergeCell ref="D151:D154"/>
    <mergeCell ref="D155:D158"/>
    <mergeCell ref="D159:D162"/>
    <mergeCell ref="B83:B102"/>
    <mergeCell ref="C83:C102"/>
    <mergeCell ref="D83:D86"/>
    <mergeCell ref="D87:D90"/>
    <mergeCell ref="D91:D94"/>
    <mergeCell ref="D95:D98"/>
    <mergeCell ref="D99:D102"/>
    <mergeCell ref="B103:B122"/>
    <mergeCell ref="C103:C1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132C-F917-4520-9023-16A3D8E89706}">
  <dimension ref="A2:H188"/>
  <sheetViews>
    <sheetView tabSelected="1" topLeftCell="A155" workbookViewId="0">
      <selection activeCell="L10" sqref="L10"/>
    </sheetView>
  </sheetViews>
  <sheetFormatPr defaultRowHeight="14.4" x14ac:dyDescent="0.3"/>
  <cols>
    <col min="1" max="1" width="17.88671875" bestFit="1" customWidth="1"/>
    <col min="2" max="2" width="8.33203125" bestFit="1" customWidth="1"/>
    <col min="3" max="3" width="11.109375" bestFit="1" customWidth="1"/>
    <col min="4" max="4" width="5.33203125" bestFit="1" customWidth="1"/>
    <col min="5" max="5" width="8.6640625" customWidth="1"/>
    <col min="6" max="7" width="7.88671875" bestFit="1" customWidth="1"/>
    <col min="8" max="8" width="9.33203125" bestFit="1" customWidth="1"/>
  </cols>
  <sheetData>
    <row r="2" spans="1:8" x14ac:dyDescent="0.3">
      <c r="A2" s="56" t="s">
        <v>16</v>
      </c>
      <c r="B2" s="56"/>
      <c r="C2" s="56"/>
      <c r="D2" s="56"/>
      <c r="E2" s="56"/>
      <c r="F2" s="56"/>
      <c r="G2" s="56"/>
      <c r="H2" s="56"/>
    </row>
    <row r="3" spans="1:8" x14ac:dyDescent="0.3">
      <c r="A3" s="56"/>
      <c r="B3" s="56"/>
      <c r="C3" s="56"/>
      <c r="D3" s="56"/>
      <c r="E3" s="56"/>
      <c r="F3" s="56"/>
      <c r="G3" s="56"/>
      <c r="H3" s="56"/>
    </row>
    <row r="4" spans="1:8" ht="15" thickBot="1" x14ac:dyDescent="0.35">
      <c r="A4" s="56" t="s">
        <v>8</v>
      </c>
      <c r="B4" s="8" t="s">
        <v>0</v>
      </c>
      <c r="C4" s="8" t="s">
        <v>17</v>
      </c>
      <c r="D4" s="1" t="s">
        <v>1</v>
      </c>
      <c r="E4" s="72" t="s">
        <v>13</v>
      </c>
      <c r="F4" s="72"/>
      <c r="G4" s="72"/>
      <c r="H4" s="72"/>
    </row>
    <row r="5" spans="1:8" x14ac:dyDescent="0.3">
      <c r="A5" s="56"/>
      <c r="B5" s="56" t="s">
        <v>10</v>
      </c>
      <c r="C5" s="56" t="s">
        <v>10</v>
      </c>
      <c r="D5" s="57">
        <v>1</v>
      </c>
      <c r="E5" s="21">
        <v>-0.90649999999999997</v>
      </c>
      <c r="F5" s="22">
        <v>-0.42180000000000001</v>
      </c>
      <c r="G5" s="22">
        <v>-1.5900000000000001E-2</v>
      </c>
      <c r="H5" s="23">
        <v>54.39</v>
      </c>
    </row>
    <row r="6" spans="1:8" x14ac:dyDescent="0.3">
      <c r="A6" s="56"/>
      <c r="B6" s="56"/>
      <c r="C6" s="56"/>
      <c r="D6" s="57"/>
      <c r="E6" s="24">
        <v>-0.42180000000000001</v>
      </c>
      <c r="F6" s="9">
        <v>0.90669999999999995</v>
      </c>
      <c r="G6" s="9">
        <v>-6.1000000000000004E-3</v>
      </c>
      <c r="H6" s="25">
        <v>515.58000000000004</v>
      </c>
    </row>
    <row r="7" spans="1:8" x14ac:dyDescent="0.3">
      <c r="A7" s="56"/>
      <c r="B7" s="56"/>
      <c r="C7" s="56"/>
      <c r="D7" s="57"/>
      <c r="E7" s="24">
        <v>1.7000000000000001E-2</v>
      </c>
      <c r="F7" s="9">
        <v>1.1000000000000001E-3</v>
      </c>
      <c r="G7" s="9">
        <v>-0.99990000000000001</v>
      </c>
      <c r="H7" s="25">
        <v>88.76</v>
      </c>
    </row>
    <row r="8" spans="1:8" ht="15" thickBot="1" x14ac:dyDescent="0.35">
      <c r="A8" s="56"/>
      <c r="B8" s="56"/>
      <c r="C8" s="56"/>
      <c r="D8" s="57"/>
      <c r="E8" s="26">
        <v>0</v>
      </c>
      <c r="F8" s="27">
        <v>0</v>
      </c>
      <c r="G8" s="27">
        <v>0</v>
      </c>
      <c r="H8" s="28">
        <v>1</v>
      </c>
    </row>
    <row r="9" spans="1:8" x14ac:dyDescent="0.3">
      <c r="A9" s="56"/>
      <c r="B9" s="56"/>
      <c r="C9" s="56"/>
      <c r="D9" s="57">
        <v>2</v>
      </c>
      <c r="E9" s="21">
        <v>-0.90680000000000005</v>
      </c>
      <c r="F9" s="22">
        <v>-0.42130000000000001</v>
      </c>
      <c r="G9" s="22">
        <v>-1.61E-2</v>
      </c>
      <c r="H9" s="23">
        <v>52.93</v>
      </c>
    </row>
    <row r="10" spans="1:8" x14ac:dyDescent="0.3">
      <c r="A10" s="56"/>
      <c r="B10" s="56"/>
      <c r="C10" s="56"/>
      <c r="D10" s="57"/>
      <c r="E10" s="24">
        <v>-0.42120000000000002</v>
      </c>
      <c r="F10" s="9">
        <v>0.90690000000000004</v>
      </c>
      <c r="G10" s="9">
        <v>-6.1999999999999998E-3</v>
      </c>
      <c r="H10" s="25">
        <v>462.48</v>
      </c>
    </row>
    <row r="11" spans="1:8" x14ac:dyDescent="0.3">
      <c r="A11" s="56"/>
      <c r="B11" s="56"/>
      <c r="C11" s="56"/>
      <c r="D11" s="57"/>
      <c r="E11" s="24">
        <v>1.72E-2</v>
      </c>
      <c r="F11" s="9">
        <v>1.1999999999999999E-3</v>
      </c>
      <c r="G11" s="9">
        <v>-0.99990000000000001</v>
      </c>
      <c r="H11" s="25">
        <v>88.75</v>
      </c>
    </row>
    <row r="12" spans="1:8" ht="15" thickBot="1" x14ac:dyDescent="0.35">
      <c r="A12" s="56"/>
      <c r="B12" s="56"/>
      <c r="C12" s="56"/>
      <c r="D12" s="57"/>
      <c r="E12" s="26">
        <v>0</v>
      </c>
      <c r="F12" s="27">
        <v>0</v>
      </c>
      <c r="G12" s="27">
        <v>0</v>
      </c>
      <c r="H12" s="3">
        <v>1</v>
      </c>
    </row>
    <row r="13" spans="1:8" x14ac:dyDescent="0.3">
      <c r="A13" s="56"/>
      <c r="B13" s="56"/>
      <c r="C13" s="56"/>
      <c r="D13" s="57">
        <v>3</v>
      </c>
      <c r="E13" s="21">
        <v>-0.90680000000000005</v>
      </c>
      <c r="F13" s="22">
        <v>-0.42130000000000001</v>
      </c>
      <c r="G13" s="22">
        <v>-1.61E-2</v>
      </c>
      <c r="H13" s="23">
        <v>2.4700000000000002</v>
      </c>
    </row>
    <row r="14" spans="1:8" x14ac:dyDescent="0.3">
      <c r="A14" s="56"/>
      <c r="B14" s="56"/>
      <c r="C14" s="56"/>
      <c r="D14" s="57"/>
      <c r="E14" s="24">
        <v>-0.42120000000000002</v>
      </c>
      <c r="F14" s="9">
        <v>0.90690000000000004</v>
      </c>
      <c r="G14" s="9">
        <v>-6.1999999999999998E-3</v>
      </c>
      <c r="H14" s="25">
        <v>514.45000000000005</v>
      </c>
    </row>
    <row r="15" spans="1:8" x14ac:dyDescent="0.3">
      <c r="A15" s="56"/>
      <c r="B15" s="56"/>
      <c r="C15" s="56"/>
      <c r="D15" s="57"/>
      <c r="E15" s="24">
        <v>1.72E-2</v>
      </c>
      <c r="F15" s="9">
        <v>1.1999999999999999E-3</v>
      </c>
      <c r="G15" s="9">
        <v>-0.99990000000000001</v>
      </c>
      <c r="H15" s="25">
        <v>88.81</v>
      </c>
    </row>
    <row r="16" spans="1:8" ht="15" thickBot="1" x14ac:dyDescent="0.35">
      <c r="A16" s="56"/>
      <c r="B16" s="56"/>
      <c r="C16" s="56"/>
      <c r="D16" s="57"/>
      <c r="E16" s="26">
        <v>0</v>
      </c>
      <c r="F16" s="27">
        <v>0</v>
      </c>
      <c r="G16" s="27">
        <v>0</v>
      </c>
      <c r="H16" s="3">
        <v>1</v>
      </c>
    </row>
    <row r="17" spans="1:8" x14ac:dyDescent="0.3">
      <c r="A17" s="56"/>
      <c r="B17" s="56"/>
      <c r="C17" s="56"/>
      <c r="D17" s="57">
        <v>4</v>
      </c>
      <c r="E17" s="21">
        <v>-0.53290000000000004</v>
      </c>
      <c r="F17" s="22">
        <v>-5.3499999999999999E-2</v>
      </c>
      <c r="G17" s="22">
        <v>0.84450000000000003</v>
      </c>
      <c r="H17" s="23">
        <v>-161.57</v>
      </c>
    </row>
    <row r="18" spans="1:8" x14ac:dyDescent="0.3">
      <c r="A18" s="56"/>
      <c r="B18" s="56"/>
      <c r="C18" s="56"/>
      <c r="D18" s="57"/>
      <c r="E18" s="24">
        <v>-3.15E-2</v>
      </c>
      <c r="F18" s="9">
        <v>0.99860000000000004</v>
      </c>
      <c r="G18" s="9">
        <v>4.3400000000000001E-2</v>
      </c>
      <c r="H18" s="25">
        <v>558.04999999999995</v>
      </c>
    </row>
    <row r="19" spans="1:8" x14ac:dyDescent="0.3">
      <c r="A19" s="56"/>
      <c r="B19" s="56"/>
      <c r="C19" s="56"/>
      <c r="D19" s="57"/>
      <c r="E19" s="24">
        <v>-0.84560000000000002</v>
      </c>
      <c r="F19" s="9">
        <v>-3.5000000000000001E-3</v>
      </c>
      <c r="G19" s="9">
        <v>-0.53380000000000005</v>
      </c>
      <c r="H19" s="25">
        <v>-26.32</v>
      </c>
    </row>
    <row r="20" spans="1:8" ht="15" thickBot="1" x14ac:dyDescent="0.35">
      <c r="A20" s="56"/>
      <c r="B20" s="56"/>
      <c r="C20" s="56"/>
      <c r="D20" s="57"/>
      <c r="E20" s="26">
        <v>0</v>
      </c>
      <c r="F20" s="27">
        <v>0</v>
      </c>
      <c r="G20" s="27">
        <v>0</v>
      </c>
      <c r="H20" s="3">
        <v>1</v>
      </c>
    </row>
    <row r="21" spans="1:8" x14ac:dyDescent="0.3">
      <c r="A21" s="56"/>
      <c r="B21" s="56"/>
      <c r="C21" s="56"/>
      <c r="D21" s="57">
        <v>5</v>
      </c>
      <c r="E21" s="21">
        <v>-0.80110000000000003</v>
      </c>
      <c r="F21" s="22">
        <v>-0.5524</v>
      </c>
      <c r="G21" s="22">
        <v>-0.23050000000000001</v>
      </c>
      <c r="H21" s="23">
        <v>46.99</v>
      </c>
    </row>
    <row r="22" spans="1:8" x14ac:dyDescent="0.3">
      <c r="A22" s="56"/>
      <c r="B22" s="56"/>
      <c r="C22" s="56"/>
      <c r="D22" s="57"/>
      <c r="E22" s="24">
        <v>-0.32079999999999997</v>
      </c>
      <c r="F22" s="9">
        <v>0.72130000000000005</v>
      </c>
      <c r="G22" s="9">
        <v>-0.61380000000000001</v>
      </c>
      <c r="H22" s="25">
        <v>638.20000000000005</v>
      </c>
    </row>
    <row r="23" spans="1:8" x14ac:dyDescent="0.3">
      <c r="A23" s="56"/>
      <c r="B23" s="56"/>
      <c r="C23" s="56"/>
      <c r="D23" s="57"/>
      <c r="E23" s="24">
        <v>0.50529999999999997</v>
      </c>
      <c r="F23" s="9">
        <v>-0.41770000000000002</v>
      </c>
      <c r="G23" s="9">
        <v>-0.75509999999999999</v>
      </c>
      <c r="H23" s="25">
        <v>-50.23</v>
      </c>
    </row>
    <row r="24" spans="1:8" ht="15" thickBot="1" x14ac:dyDescent="0.35">
      <c r="A24" s="56"/>
      <c r="B24" s="56"/>
      <c r="C24" s="56"/>
      <c r="D24" s="57"/>
      <c r="E24" s="26">
        <v>0</v>
      </c>
      <c r="F24" s="27">
        <v>0</v>
      </c>
      <c r="G24" s="27">
        <v>0</v>
      </c>
      <c r="H24" s="3">
        <v>1</v>
      </c>
    </row>
    <row r="25" spans="1:8" x14ac:dyDescent="0.3">
      <c r="A25" s="56" t="s">
        <v>9</v>
      </c>
      <c r="B25" s="56" t="s">
        <v>10</v>
      </c>
      <c r="C25" s="56" t="s">
        <v>10</v>
      </c>
      <c r="D25" s="57" t="s">
        <v>10</v>
      </c>
      <c r="E25" s="30">
        <v>0</v>
      </c>
      <c r="F25" s="31">
        <v>1</v>
      </c>
      <c r="G25" s="31">
        <v>0</v>
      </c>
      <c r="H25" s="23">
        <v>0</v>
      </c>
    </row>
    <row r="26" spans="1:8" x14ac:dyDescent="0.3">
      <c r="A26" s="56"/>
      <c r="B26" s="56"/>
      <c r="C26" s="56"/>
      <c r="D26" s="57"/>
      <c r="E26" s="32">
        <v>-1</v>
      </c>
      <c r="F26" s="10">
        <v>0</v>
      </c>
      <c r="G26" s="10">
        <v>0</v>
      </c>
      <c r="H26" s="25">
        <v>0</v>
      </c>
    </row>
    <row r="27" spans="1:8" x14ac:dyDescent="0.3">
      <c r="A27" s="56"/>
      <c r="B27" s="56"/>
      <c r="C27" s="56"/>
      <c r="D27" s="57"/>
      <c r="E27" s="32">
        <v>0</v>
      </c>
      <c r="F27" s="10">
        <v>0</v>
      </c>
      <c r="G27" s="10">
        <v>1</v>
      </c>
      <c r="H27" s="25">
        <v>8.3000000000000007</v>
      </c>
    </row>
    <row r="28" spans="1:8" ht="15" thickBot="1" x14ac:dyDescent="0.35">
      <c r="A28" s="56"/>
      <c r="B28" s="56"/>
      <c r="C28" s="56"/>
      <c r="D28" s="57"/>
      <c r="E28" s="33">
        <v>0</v>
      </c>
      <c r="F28" s="34">
        <v>0</v>
      </c>
      <c r="G28" s="34">
        <v>0</v>
      </c>
      <c r="H28" s="28">
        <v>1</v>
      </c>
    </row>
    <row r="29" spans="1:8" x14ac:dyDescent="0.3">
      <c r="A29" s="71" t="s">
        <v>14</v>
      </c>
      <c r="B29" s="56" t="s">
        <v>3</v>
      </c>
      <c r="C29" s="56" t="s">
        <v>2</v>
      </c>
      <c r="D29" s="57">
        <v>1</v>
      </c>
      <c r="E29" s="13">
        <v>-0.90300000000000002</v>
      </c>
      <c r="F29" s="14">
        <v>2E-3</v>
      </c>
      <c r="G29" s="14">
        <v>-0.42899999999999999</v>
      </c>
      <c r="H29" s="15">
        <v>-6.77</v>
      </c>
    </row>
    <row r="30" spans="1:8" x14ac:dyDescent="0.3">
      <c r="A30" s="71"/>
      <c r="B30" s="56"/>
      <c r="C30" s="56"/>
      <c r="D30" s="57"/>
      <c r="E30" s="16">
        <v>-0.42899999999999999</v>
      </c>
      <c r="F30" s="11">
        <v>-1E-3</v>
      </c>
      <c r="G30" s="11">
        <v>0.90300000000000002</v>
      </c>
      <c r="H30" s="17">
        <v>46.49</v>
      </c>
    </row>
    <row r="31" spans="1:8" x14ac:dyDescent="0.3">
      <c r="A31" s="71"/>
      <c r="B31" s="56"/>
      <c r="C31" s="56"/>
      <c r="D31" s="57"/>
      <c r="E31" s="16">
        <v>2E-3</v>
      </c>
      <c r="F31" s="11">
        <v>0.999</v>
      </c>
      <c r="G31" s="11">
        <v>1E-3</v>
      </c>
      <c r="H31" s="17">
        <v>246.24</v>
      </c>
    </row>
    <row r="32" spans="1:8" ht="15" thickBot="1" x14ac:dyDescent="0.35">
      <c r="A32" s="71"/>
      <c r="B32" s="56"/>
      <c r="C32" s="56"/>
      <c r="D32" s="57"/>
      <c r="E32" s="18">
        <v>0</v>
      </c>
      <c r="F32" s="19">
        <v>0</v>
      </c>
      <c r="G32" s="19">
        <v>0</v>
      </c>
      <c r="H32" s="20">
        <v>1</v>
      </c>
    </row>
    <row r="33" spans="1:8" x14ac:dyDescent="0.3">
      <c r="A33" s="71"/>
      <c r="B33" s="56"/>
      <c r="C33" s="56"/>
      <c r="D33" s="57">
        <v>2</v>
      </c>
      <c r="E33" s="13">
        <v>-0.90600000000000003</v>
      </c>
      <c r="F33" s="14">
        <v>3.2000000000000001E-2</v>
      </c>
      <c r="G33" s="14">
        <v>-0.42199999999999999</v>
      </c>
      <c r="H33" s="15">
        <v>-53.91</v>
      </c>
    </row>
    <row r="34" spans="1:8" x14ac:dyDescent="0.3">
      <c r="A34" s="71"/>
      <c r="B34" s="56"/>
      <c r="C34" s="56"/>
      <c r="D34" s="57"/>
      <c r="E34" s="16">
        <v>-0.42299999999999999</v>
      </c>
      <c r="F34" s="11">
        <v>-6.4000000000000001E-2</v>
      </c>
      <c r="G34" s="11">
        <v>0.90400000000000003</v>
      </c>
      <c r="H34" s="17">
        <v>23.51</v>
      </c>
    </row>
    <row r="35" spans="1:8" x14ac:dyDescent="0.3">
      <c r="A35" s="71"/>
      <c r="B35" s="56"/>
      <c r="C35" s="56"/>
      <c r="D35" s="57"/>
      <c r="E35" s="16">
        <v>2E-3</v>
      </c>
      <c r="F35" s="11">
        <v>0.997</v>
      </c>
      <c r="G35" s="11">
        <v>7.1999999999999995E-2</v>
      </c>
      <c r="H35" s="17">
        <v>245.59</v>
      </c>
    </row>
    <row r="36" spans="1:8" ht="15" thickBot="1" x14ac:dyDescent="0.35">
      <c r="A36" s="71"/>
      <c r="B36" s="56"/>
      <c r="C36" s="56"/>
      <c r="D36" s="57"/>
      <c r="E36" s="18">
        <v>0</v>
      </c>
      <c r="F36" s="19">
        <v>0</v>
      </c>
      <c r="G36" s="19">
        <v>0</v>
      </c>
      <c r="H36" s="20">
        <v>1</v>
      </c>
    </row>
    <row r="37" spans="1:8" x14ac:dyDescent="0.3">
      <c r="A37" s="71"/>
      <c r="B37" s="56"/>
      <c r="C37" s="56"/>
      <c r="D37" s="57">
        <v>3</v>
      </c>
      <c r="E37" s="13">
        <v>-0.90100000000000002</v>
      </c>
      <c r="F37" s="14">
        <v>8.2000000000000003E-2</v>
      </c>
      <c r="G37" s="14">
        <v>-0.42599999999999999</v>
      </c>
      <c r="H37" s="15">
        <v>13.53</v>
      </c>
    </row>
    <row r="38" spans="1:8" x14ac:dyDescent="0.3">
      <c r="A38" s="71"/>
      <c r="B38" s="56"/>
      <c r="C38" s="56"/>
      <c r="D38" s="57"/>
      <c r="E38" s="16">
        <v>-0.42899999999999999</v>
      </c>
      <c r="F38" s="11">
        <v>-1.4999999999999999E-2</v>
      </c>
      <c r="G38" s="11">
        <v>0.90300000000000002</v>
      </c>
      <c r="H38" s="17">
        <v>-1.55</v>
      </c>
    </row>
    <row r="39" spans="1:8" x14ac:dyDescent="0.3">
      <c r="A39" s="71"/>
      <c r="B39" s="56"/>
      <c r="C39" s="56"/>
      <c r="D39" s="57"/>
      <c r="E39" s="16">
        <v>6.7000000000000004E-2</v>
      </c>
      <c r="F39" s="11">
        <v>0.997</v>
      </c>
      <c r="G39" s="11">
        <v>4.9000000000000002E-2</v>
      </c>
      <c r="H39" s="17">
        <v>243.95</v>
      </c>
    </row>
    <row r="40" spans="1:8" ht="15" thickBot="1" x14ac:dyDescent="0.35">
      <c r="A40" s="71"/>
      <c r="B40" s="56"/>
      <c r="C40" s="56"/>
      <c r="D40" s="57"/>
      <c r="E40" s="18">
        <v>0</v>
      </c>
      <c r="F40" s="19">
        <v>0</v>
      </c>
      <c r="G40" s="19">
        <v>0</v>
      </c>
      <c r="H40" s="20">
        <v>1</v>
      </c>
    </row>
    <row r="41" spans="1:8" x14ac:dyDescent="0.3">
      <c r="A41" s="71"/>
      <c r="B41" s="56"/>
      <c r="C41" s="56"/>
      <c r="D41" s="57">
        <v>4</v>
      </c>
      <c r="E41" s="13">
        <v>-0.996</v>
      </c>
      <c r="F41" s="14">
        <v>6.8000000000000005E-2</v>
      </c>
      <c r="G41" s="14">
        <v>-5.6000000000000001E-2</v>
      </c>
      <c r="H41" s="15">
        <v>64.209999999999994</v>
      </c>
    </row>
    <row r="42" spans="1:8" x14ac:dyDescent="0.3">
      <c r="A42" s="71"/>
      <c r="B42" s="56"/>
      <c r="C42" s="56"/>
      <c r="D42" s="57"/>
      <c r="E42" s="16">
        <v>2.5000000000000001E-2</v>
      </c>
      <c r="F42" s="11">
        <v>0.82799999999999996</v>
      </c>
      <c r="G42" s="11">
        <v>0.56100000000000005</v>
      </c>
      <c r="H42" s="17">
        <v>35.479999999999997</v>
      </c>
    </row>
    <row r="43" spans="1:8" x14ac:dyDescent="0.3">
      <c r="A43" s="71"/>
      <c r="B43" s="56"/>
      <c r="C43" s="56"/>
      <c r="D43" s="57"/>
      <c r="E43" s="16">
        <v>8.4000000000000005E-2</v>
      </c>
      <c r="F43" s="11">
        <v>0.55700000000000005</v>
      </c>
      <c r="G43" s="11">
        <v>-0.82599999999999996</v>
      </c>
      <c r="H43" s="17">
        <v>199.87</v>
      </c>
    </row>
    <row r="44" spans="1:8" ht="15" thickBot="1" x14ac:dyDescent="0.35">
      <c r="A44" s="71"/>
      <c r="B44" s="56"/>
      <c r="C44" s="56"/>
      <c r="D44" s="57"/>
      <c r="E44" s="18">
        <v>0</v>
      </c>
      <c r="F44" s="19">
        <v>0</v>
      </c>
      <c r="G44" s="19">
        <v>0</v>
      </c>
      <c r="H44" s="20">
        <v>1</v>
      </c>
    </row>
    <row r="45" spans="1:8" x14ac:dyDescent="0.3">
      <c r="A45" s="71"/>
      <c r="B45" s="56"/>
      <c r="C45" s="56"/>
      <c r="D45" s="57">
        <v>5</v>
      </c>
      <c r="E45" s="37">
        <v>-0.73199999999999998</v>
      </c>
      <c r="F45" s="38">
        <v>-0.48699999999999999</v>
      </c>
      <c r="G45" s="38">
        <v>-0.47699999999999998</v>
      </c>
      <c r="H45" s="39">
        <v>33.51</v>
      </c>
    </row>
    <row r="46" spans="1:8" x14ac:dyDescent="0.3">
      <c r="A46" s="71"/>
      <c r="B46" s="56"/>
      <c r="C46" s="56"/>
      <c r="D46" s="57"/>
      <c r="E46" s="16">
        <v>-0.33</v>
      </c>
      <c r="F46" s="11">
        <v>-0.35899999999999999</v>
      </c>
      <c r="G46" s="11">
        <v>0.873</v>
      </c>
      <c r="H46" s="17">
        <v>21.34</v>
      </c>
    </row>
    <row r="47" spans="1:8" x14ac:dyDescent="0.3">
      <c r="A47" s="71"/>
      <c r="B47" s="56"/>
      <c r="C47" s="56"/>
      <c r="D47" s="57"/>
      <c r="E47" s="16">
        <v>-0.59599999999999997</v>
      </c>
      <c r="F47" s="11">
        <v>0.79600000000000004</v>
      </c>
      <c r="G47" s="11">
        <v>0.10199999999999999</v>
      </c>
      <c r="H47" s="17">
        <v>175.32</v>
      </c>
    </row>
    <row r="48" spans="1:8" ht="15" thickBot="1" x14ac:dyDescent="0.35">
      <c r="A48" s="71"/>
      <c r="B48" s="56"/>
      <c r="C48" s="56"/>
      <c r="D48" s="57"/>
      <c r="E48" s="18">
        <v>0</v>
      </c>
      <c r="F48" s="19">
        <v>0</v>
      </c>
      <c r="G48" s="19">
        <v>0</v>
      </c>
      <c r="H48" s="20">
        <v>1</v>
      </c>
    </row>
    <row r="49" spans="1:8" x14ac:dyDescent="0.3">
      <c r="A49" s="71"/>
      <c r="B49" s="56" t="s">
        <v>3</v>
      </c>
      <c r="C49" s="56" t="s">
        <v>4</v>
      </c>
      <c r="D49" s="57">
        <v>1</v>
      </c>
      <c r="E49" s="13">
        <v>-0.40300000000000002</v>
      </c>
      <c r="F49" s="14">
        <v>-1.7000000000000001E-2</v>
      </c>
      <c r="G49" s="40">
        <v>-0.19500000000000001</v>
      </c>
      <c r="H49" s="39">
        <v>-11.28</v>
      </c>
    </row>
    <row r="50" spans="1:8" x14ac:dyDescent="0.3">
      <c r="A50" s="71"/>
      <c r="B50" s="56"/>
      <c r="C50" s="56"/>
      <c r="D50" s="57"/>
      <c r="E50" s="16">
        <v>0.91500000000000004</v>
      </c>
      <c r="F50" s="11">
        <v>2.8000000000000001E-2</v>
      </c>
      <c r="G50" s="29">
        <v>-0.40300000000000002</v>
      </c>
      <c r="H50" s="17">
        <v>-9.19</v>
      </c>
    </row>
    <row r="51" spans="1:8" x14ac:dyDescent="0.3">
      <c r="A51" s="71"/>
      <c r="B51" s="56"/>
      <c r="C51" s="56"/>
      <c r="D51" s="57"/>
      <c r="E51" s="16">
        <v>3.3000000000000002E-2</v>
      </c>
      <c r="F51" s="11">
        <v>-0.999</v>
      </c>
      <c r="G51" s="11">
        <v>4.0000000000000001E-3</v>
      </c>
      <c r="H51" s="17">
        <v>239.61</v>
      </c>
    </row>
    <row r="52" spans="1:8" ht="15" thickBot="1" x14ac:dyDescent="0.35">
      <c r="A52" s="71"/>
      <c r="B52" s="56"/>
      <c r="C52" s="56"/>
      <c r="D52" s="57"/>
      <c r="E52" s="18">
        <v>0</v>
      </c>
      <c r="F52" s="19">
        <v>0</v>
      </c>
      <c r="G52" s="19">
        <v>0</v>
      </c>
      <c r="H52" s="20">
        <v>1</v>
      </c>
    </row>
    <row r="53" spans="1:8" x14ac:dyDescent="0.3">
      <c r="A53" s="71"/>
      <c r="B53" s="56"/>
      <c r="C53" s="56"/>
      <c r="D53" s="57">
        <v>2</v>
      </c>
      <c r="E53" s="13">
        <v>-0.42199999999999999</v>
      </c>
      <c r="F53" s="14">
        <v>-0.04</v>
      </c>
      <c r="G53" s="14">
        <v>-0.90500000000000003</v>
      </c>
      <c r="H53" s="15">
        <v>-58.82</v>
      </c>
    </row>
    <row r="54" spans="1:8" x14ac:dyDescent="0.3">
      <c r="A54" s="71"/>
      <c r="B54" s="56"/>
      <c r="C54" s="56"/>
      <c r="D54" s="57"/>
      <c r="E54" s="16">
        <v>0.90600000000000003</v>
      </c>
      <c r="F54" s="11">
        <v>-1.4E-2</v>
      </c>
      <c r="G54" s="11">
        <v>-0.42199999999999999</v>
      </c>
      <c r="H54" s="17">
        <v>-31.7</v>
      </c>
    </row>
    <row r="55" spans="1:8" x14ac:dyDescent="0.3">
      <c r="A55" s="71"/>
      <c r="B55" s="56"/>
      <c r="C55" s="56"/>
      <c r="D55" s="57"/>
      <c r="E55" s="16">
        <v>5.0000000000000001E-3</v>
      </c>
      <c r="F55" s="11">
        <v>-0.999</v>
      </c>
      <c r="G55" s="11">
        <v>4.2000000000000003E-2</v>
      </c>
      <c r="H55" s="17">
        <v>241.57</v>
      </c>
    </row>
    <row r="56" spans="1:8" ht="15" thickBot="1" x14ac:dyDescent="0.35">
      <c r="A56" s="71"/>
      <c r="B56" s="56"/>
      <c r="C56" s="56"/>
      <c r="D56" s="57"/>
      <c r="E56" s="18">
        <v>0</v>
      </c>
      <c r="F56" s="19">
        <v>0</v>
      </c>
      <c r="G56" s="19">
        <v>0</v>
      </c>
      <c r="H56" s="20">
        <v>1</v>
      </c>
    </row>
    <row r="57" spans="1:8" x14ac:dyDescent="0.3">
      <c r="A57" s="71"/>
      <c r="B57" s="56"/>
      <c r="C57" s="56"/>
      <c r="D57" s="57">
        <v>3</v>
      </c>
      <c r="E57" s="13">
        <v>-0.40400000000000003</v>
      </c>
      <c r="F57" s="14">
        <v>-1.2999999999999999E-2</v>
      </c>
      <c r="G57" s="14">
        <v>-0.91500000000000004</v>
      </c>
      <c r="H57" s="15">
        <v>8.5399999999999991</v>
      </c>
    </row>
    <row r="58" spans="1:8" x14ac:dyDescent="0.3">
      <c r="A58" s="71"/>
      <c r="B58" s="56"/>
      <c r="C58" s="56"/>
      <c r="D58" s="57"/>
      <c r="E58" s="16">
        <v>0.91500000000000004</v>
      </c>
      <c r="F58" s="11">
        <v>1.2E-2</v>
      </c>
      <c r="G58" s="11">
        <v>-0.40400000000000003</v>
      </c>
      <c r="H58" s="17">
        <v>-57.1</v>
      </c>
    </row>
    <row r="59" spans="1:8" x14ac:dyDescent="0.3">
      <c r="A59" s="71"/>
      <c r="B59" s="56"/>
      <c r="C59" s="56"/>
      <c r="D59" s="57"/>
      <c r="E59" s="16">
        <v>1.6E-2</v>
      </c>
      <c r="F59" s="11">
        <v>-0.999</v>
      </c>
      <c r="G59" s="11">
        <v>8.0000000000000002E-3</v>
      </c>
      <c r="H59" s="17">
        <v>239.73</v>
      </c>
    </row>
    <row r="60" spans="1:8" ht="15" thickBot="1" x14ac:dyDescent="0.35">
      <c r="A60" s="71"/>
      <c r="B60" s="56"/>
      <c r="C60" s="56"/>
      <c r="D60" s="57"/>
      <c r="E60" s="18">
        <v>0</v>
      </c>
      <c r="F60" s="19">
        <v>0</v>
      </c>
      <c r="G60" s="19">
        <v>0</v>
      </c>
      <c r="H60" s="20">
        <v>1</v>
      </c>
    </row>
    <row r="61" spans="1:8" x14ac:dyDescent="0.3">
      <c r="A61" s="71"/>
      <c r="B61" s="56"/>
      <c r="C61" s="56"/>
      <c r="D61" s="57">
        <v>4</v>
      </c>
      <c r="E61" s="13">
        <v>-0.04</v>
      </c>
      <c r="F61" s="14">
        <v>-1.4999999999999999E-2</v>
      </c>
      <c r="G61" s="14">
        <v>-0.999</v>
      </c>
      <c r="H61" s="15">
        <v>39.92</v>
      </c>
    </row>
    <row r="62" spans="1:8" x14ac:dyDescent="0.3">
      <c r="A62" s="71"/>
      <c r="B62" s="56"/>
      <c r="C62" s="56"/>
      <c r="D62" s="57"/>
      <c r="E62" s="16">
        <v>0.52600000000000002</v>
      </c>
      <c r="F62" s="11">
        <v>-0.85</v>
      </c>
      <c r="G62" s="11">
        <v>-8.9999999999999993E-3</v>
      </c>
      <c r="H62" s="17">
        <v>5.72</v>
      </c>
    </row>
    <row r="63" spans="1:8" x14ac:dyDescent="0.3">
      <c r="A63" s="71"/>
      <c r="B63" s="56"/>
      <c r="C63" s="56"/>
      <c r="D63" s="57"/>
      <c r="E63" s="16">
        <v>-0.84899999999999998</v>
      </c>
      <c r="F63" s="11">
        <v>-0.52600000000000002</v>
      </c>
      <c r="G63" s="11">
        <v>4.2000000000000003E-2</v>
      </c>
      <c r="H63" s="17">
        <v>241.92</v>
      </c>
    </row>
    <row r="64" spans="1:8" ht="15" thickBot="1" x14ac:dyDescent="0.35">
      <c r="A64" s="71"/>
      <c r="B64" s="56"/>
      <c r="C64" s="56"/>
      <c r="D64" s="57"/>
      <c r="E64" s="18">
        <v>0</v>
      </c>
      <c r="F64" s="19">
        <v>0</v>
      </c>
      <c r="G64" s="19">
        <v>0</v>
      </c>
      <c r="H64" s="20">
        <v>1</v>
      </c>
    </row>
    <row r="65" spans="1:8" x14ac:dyDescent="0.3">
      <c r="A65" s="71"/>
      <c r="B65" s="56"/>
      <c r="C65" s="56"/>
      <c r="D65" s="57">
        <v>5</v>
      </c>
      <c r="E65" s="13">
        <v>-0.499</v>
      </c>
      <c r="F65" s="14">
        <v>0.86399999999999999</v>
      </c>
      <c r="G65" s="14">
        <v>5.8999999999999997E-2</v>
      </c>
      <c r="H65" s="15">
        <v>41.45</v>
      </c>
    </row>
    <row r="66" spans="1:8" x14ac:dyDescent="0.3">
      <c r="A66" s="71"/>
      <c r="B66" s="56"/>
      <c r="C66" s="56"/>
      <c r="D66" s="57"/>
      <c r="E66" s="16">
        <v>0.79200000000000004</v>
      </c>
      <c r="F66" s="11">
        <v>0.42799999999999999</v>
      </c>
      <c r="G66" s="11">
        <v>0.437</v>
      </c>
      <c r="H66" s="17">
        <v>-23.26</v>
      </c>
    </row>
    <row r="67" spans="1:8" x14ac:dyDescent="0.3">
      <c r="A67" s="71"/>
      <c r="B67" s="56"/>
      <c r="C67" s="56"/>
      <c r="D67" s="57"/>
      <c r="E67" s="16">
        <v>0.35199999999999998</v>
      </c>
      <c r="F67" s="11">
        <v>0.26500000000000001</v>
      </c>
      <c r="G67" s="11">
        <v>-0.89800000000000002</v>
      </c>
      <c r="H67" s="17">
        <v>148.28</v>
      </c>
    </row>
    <row r="68" spans="1:8" ht="15" thickBot="1" x14ac:dyDescent="0.35">
      <c r="A68" s="71"/>
      <c r="B68" s="56"/>
      <c r="C68" s="56"/>
      <c r="D68" s="57"/>
      <c r="E68" s="18">
        <v>0</v>
      </c>
      <c r="F68" s="19">
        <v>0</v>
      </c>
      <c r="G68" s="19">
        <v>0</v>
      </c>
      <c r="H68" s="20">
        <v>1</v>
      </c>
    </row>
    <row r="69" spans="1:8" x14ac:dyDescent="0.3">
      <c r="A69" s="71"/>
      <c r="B69" s="56" t="s">
        <v>3</v>
      </c>
      <c r="C69" s="56" t="s">
        <v>5</v>
      </c>
      <c r="D69" s="57">
        <v>1</v>
      </c>
      <c r="E69" s="13">
        <v>-0.39900000000000002</v>
      </c>
      <c r="F69" s="14">
        <v>1.7000000000000001E-2</v>
      </c>
      <c r="G69" s="14">
        <v>-0.91600000000000004</v>
      </c>
      <c r="H69" s="15">
        <v>-16.07</v>
      </c>
    </row>
    <row r="70" spans="1:8" x14ac:dyDescent="0.3">
      <c r="A70" s="71"/>
      <c r="B70" s="56"/>
      <c r="C70" s="56"/>
      <c r="D70" s="57"/>
      <c r="E70" s="16">
        <v>0.91700000000000004</v>
      </c>
      <c r="F70" s="11">
        <v>1.2999999999999999E-2</v>
      </c>
      <c r="G70" s="11">
        <v>-0.39900000000000002</v>
      </c>
      <c r="H70" s="17">
        <v>3.54</v>
      </c>
    </row>
    <row r="71" spans="1:8" x14ac:dyDescent="0.3">
      <c r="A71" s="71"/>
      <c r="B71" s="56"/>
      <c r="C71" s="56"/>
      <c r="D71" s="57"/>
      <c r="E71" s="16">
        <v>5.0000000000000001E-3</v>
      </c>
      <c r="F71" s="11">
        <v>-0.999</v>
      </c>
      <c r="G71" s="11">
        <v>-2.1000000000000001E-2</v>
      </c>
      <c r="H71" s="17">
        <v>240.68</v>
      </c>
    </row>
    <row r="72" spans="1:8" ht="15" thickBot="1" x14ac:dyDescent="0.35">
      <c r="A72" s="71"/>
      <c r="B72" s="56"/>
      <c r="C72" s="56"/>
      <c r="D72" s="57"/>
      <c r="E72" s="41">
        <v>0</v>
      </c>
      <c r="F72" s="12">
        <v>0</v>
      </c>
      <c r="G72" s="12">
        <v>0</v>
      </c>
      <c r="H72" s="42">
        <v>1</v>
      </c>
    </row>
    <row r="73" spans="1:8" x14ac:dyDescent="0.3">
      <c r="A73" s="71"/>
      <c r="B73" s="56"/>
      <c r="C73" s="56"/>
      <c r="D73" s="57">
        <v>2</v>
      </c>
      <c r="E73" s="13">
        <v>-0.39600000000000002</v>
      </c>
      <c r="F73" s="14">
        <v>-8.9999999999999993E-3</v>
      </c>
      <c r="G73" s="14">
        <v>-0.91800000000000004</v>
      </c>
      <c r="H73" s="15">
        <v>-63.82</v>
      </c>
    </row>
    <row r="74" spans="1:8" x14ac:dyDescent="0.3">
      <c r="A74" s="71"/>
      <c r="B74" s="56"/>
      <c r="C74" s="56"/>
      <c r="D74" s="57"/>
      <c r="E74" s="16">
        <v>0.91800000000000004</v>
      </c>
      <c r="F74" s="11">
        <v>-4.0000000000000001E-3</v>
      </c>
      <c r="G74" s="11">
        <v>-0.39600000000000002</v>
      </c>
      <c r="H74" s="17">
        <v>-19.190000000000001</v>
      </c>
    </row>
    <row r="75" spans="1:8" x14ac:dyDescent="0.3">
      <c r="A75" s="71"/>
      <c r="B75" s="56"/>
      <c r="C75" s="56"/>
      <c r="D75" s="57"/>
      <c r="E75" s="16">
        <v>0</v>
      </c>
      <c r="F75" s="11">
        <v>-0.999</v>
      </c>
      <c r="G75" s="11">
        <v>0.01</v>
      </c>
      <c r="H75" s="17">
        <v>242.28</v>
      </c>
    </row>
    <row r="76" spans="1:8" ht="15" thickBot="1" x14ac:dyDescent="0.35">
      <c r="A76" s="71"/>
      <c r="B76" s="56"/>
      <c r="C76" s="56"/>
      <c r="D76" s="57"/>
      <c r="E76" s="18">
        <v>0</v>
      </c>
      <c r="F76" s="19">
        <v>0</v>
      </c>
      <c r="G76" s="19">
        <v>0</v>
      </c>
      <c r="H76" s="20">
        <v>1</v>
      </c>
    </row>
    <row r="77" spans="1:8" x14ac:dyDescent="0.3">
      <c r="A77" s="71"/>
      <c r="B77" s="56"/>
      <c r="C77" s="56"/>
      <c r="D77" s="57">
        <v>3</v>
      </c>
      <c r="E77" s="35">
        <v>-0.39400000000000002</v>
      </c>
      <c r="F77" s="29">
        <v>-8.9999999999999993E-3</v>
      </c>
      <c r="G77" s="29">
        <v>-0.91900000000000004</v>
      </c>
      <c r="H77" s="36">
        <v>3.76</v>
      </c>
    </row>
    <row r="78" spans="1:8" x14ac:dyDescent="0.3">
      <c r="A78" s="71"/>
      <c r="B78" s="56"/>
      <c r="C78" s="56"/>
      <c r="D78" s="57"/>
      <c r="E78" s="16">
        <v>0.91900000000000004</v>
      </c>
      <c r="F78" s="11">
        <v>1.2999999999999999E-2</v>
      </c>
      <c r="G78" s="11">
        <v>-0.39400000000000002</v>
      </c>
      <c r="H78" s="17">
        <v>-44.49</v>
      </c>
    </row>
    <row r="79" spans="1:8" x14ac:dyDescent="0.3">
      <c r="A79" s="71"/>
      <c r="B79" s="56"/>
      <c r="C79" s="56"/>
      <c r="D79" s="57"/>
      <c r="E79" s="16">
        <v>1.4999999999999999E-2</v>
      </c>
      <c r="F79" s="11">
        <v>-0.999</v>
      </c>
      <c r="G79" s="11">
        <v>3.0000000000000001E-3</v>
      </c>
      <c r="H79" s="17">
        <v>240.15</v>
      </c>
    </row>
    <row r="80" spans="1:8" ht="15" thickBot="1" x14ac:dyDescent="0.35">
      <c r="A80" s="71"/>
      <c r="B80" s="56"/>
      <c r="C80" s="56"/>
      <c r="D80" s="57"/>
      <c r="E80" s="18">
        <v>0</v>
      </c>
      <c r="F80" s="19">
        <v>0</v>
      </c>
      <c r="G80" s="19">
        <v>0</v>
      </c>
      <c r="H80" s="20">
        <v>1</v>
      </c>
    </row>
    <row r="81" spans="1:8" x14ac:dyDescent="0.3">
      <c r="A81" s="71"/>
      <c r="B81" s="56"/>
      <c r="C81" s="56"/>
      <c r="D81" s="57">
        <v>4</v>
      </c>
      <c r="E81" s="13">
        <v>-5.3999999999999999E-2</v>
      </c>
      <c r="F81" s="14">
        <v>-3.7999999999999999E-2</v>
      </c>
      <c r="G81" s="14">
        <v>-0.998</v>
      </c>
      <c r="H81" s="15">
        <v>39.96</v>
      </c>
    </row>
    <row r="82" spans="1:8" x14ac:dyDescent="0.3">
      <c r="A82" s="71"/>
      <c r="B82" s="56"/>
      <c r="C82" s="56"/>
      <c r="D82" s="57"/>
      <c r="E82" s="16">
        <v>0.53900000000000003</v>
      </c>
      <c r="F82" s="11">
        <v>-0.84199999999999997</v>
      </c>
      <c r="G82" s="11">
        <v>3.0000000000000001E-3</v>
      </c>
      <c r="H82" s="17">
        <v>12.47</v>
      </c>
    </row>
    <row r="83" spans="1:8" x14ac:dyDescent="0.3">
      <c r="A83" s="71"/>
      <c r="B83" s="56"/>
      <c r="C83" s="56"/>
      <c r="D83" s="57"/>
      <c r="E83" s="16">
        <v>-0.84</v>
      </c>
      <c r="F83" s="11">
        <v>-0.53800000000000003</v>
      </c>
      <c r="G83" s="11">
        <v>6.6000000000000003E-2</v>
      </c>
      <c r="H83" s="17">
        <v>227.94</v>
      </c>
    </row>
    <row r="84" spans="1:8" ht="15" thickBot="1" x14ac:dyDescent="0.35">
      <c r="A84" s="71"/>
      <c r="B84" s="56"/>
      <c r="C84" s="56"/>
      <c r="D84" s="57"/>
      <c r="E84" s="18">
        <v>0</v>
      </c>
      <c r="F84" s="19">
        <v>0</v>
      </c>
      <c r="G84" s="19">
        <v>0</v>
      </c>
      <c r="H84" s="20">
        <v>1</v>
      </c>
    </row>
    <row r="85" spans="1:8" x14ac:dyDescent="0.3">
      <c r="A85" s="71"/>
      <c r="B85" s="56"/>
      <c r="C85" s="56"/>
      <c r="D85" s="57">
        <v>5</v>
      </c>
      <c r="E85" s="35">
        <v>-0.59199999999999997</v>
      </c>
      <c r="F85" s="29">
        <v>0.249</v>
      </c>
      <c r="G85" s="29">
        <v>-0.76700000000000002</v>
      </c>
      <c r="H85" s="36">
        <v>41.32</v>
      </c>
    </row>
    <row r="86" spans="1:8" x14ac:dyDescent="0.3">
      <c r="A86" s="71"/>
      <c r="B86" s="56"/>
      <c r="C86" s="56"/>
      <c r="D86" s="57"/>
      <c r="E86" s="16">
        <v>0.79600000000000004</v>
      </c>
      <c r="F86" s="11">
        <v>0.32900000000000001</v>
      </c>
      <c r="G86" s="11">
        <v>-0.50800000000000001</v>
      </c>
      <c r="H86" s="17">
        <v>-16.309999999999999</v>
      </c>
    </row>
    <row r="87" spans="1:8" x14ac:dyDescent="0.3">
      <c r="A87" s="71"/>
      <c r="B87" s="56"/>
      <c r="C87" s="56"/>
      <c r="D87" s="57"/>
      <c r="E87" s="16">
        <v>0.127</v>
      </c>
      <c r="F87" s="11">
        <v>-0.91100000000000003</v>
      </c>
      <c r="G87" s="11">
        <v>-0.39300000000000002</v>
      </c>
      <c r="H87" s="17">
        <v>166.17</v>
      </c>
    </row>
    <row r="88" spans="1:8" ht="15" thickBot="1" x14ac:dyDescent="0.35">
      <c r="A88" s="71"/>
      <c r="B88" s="56"/>
      <c r="C88" s="56"/>
      <c r="D88" s="57"/>
      <c r="E88" s="18">
        <v>0</v>
      </c>
      <c r="F88" s="19">
        <v>0</v>
      </c>
      <c r="G88" s="19">
        <v>0</v>
      </c>
      <c r="H88" s="20">
        <v>1</v>
      </c>
    </row>
    <row r="89" spans="1:8" x14ac:dyDescent="0.3">
      <c r="A89" s="71"/>
      <c r="B89" s="56" t="s">
        <v>3</v>
      </c>
      <c r="C89" s="56" t="s">
        <v>6</v>
      </c>
      <c r="D89" s="57">
        <v>1</v>
      </c>
      <c r="E89" s="13">
        <v>-1.6E-2</v>
      </c>
      <c r="F89" s="14">
        <v>0.92500000000000004</v>
      </c>
      <c r="G89" s="14">
        <v>0.379</v>
      </c>
      <c r="H89" s="15">
        <v>-30.77</v>
      </c>
    </row>
    <row r="90" spans="1:8" x14ac:dyDescent="0.3">
      <c r="A90" s="71"/>
      <c r="B90" s="56"/>
      <c r="C90" s="56"/>
      <c r="D90" s="57"/>
      <c r="E90" s="16">
        <v>2.5999999999999999E-2</v>
      </c>
      <c r="F90" s="11">
        <v>0.379</v>
      </c>
      <c r="G90" s="11">
        <v>-0.92500000000000004</v>
      </c>
      <c r="H90" s="17">
        <v>36.869999999999997</v>
      </c>
    </row>
    <row r="91" spans="1:8" x14ac:dyDescent="0.3">
      <c r="A91" s="71"/>
      <c r="B91" s="56"/>
      <c r="C91" s="56"/>
      <c r="D91" s="57"/>
      <c r="E91" s="16">
        <v>-0.99</v>
      </c>
      <c r="F91" s="11">
        <v>-5.0000000000000001E-3</v>
      </c>
      <c r="G91" s="11">
        <v>-0.03</v>
      </c>
      <c r="H91" s="17">
        <v>241.19</v>
      </c>
    </row>
    <row r="92" spans="1:8" ht="15" thickBot="1" x14ac:dyDescent="0.35">
      <c r="A92" s="71"/>
      <c r="B92" s="56"/>
      <c r="C92" s="56"/>
      <c r="D92" s="57"/>
      <c r="E92" s="18">
        <v>0</v>
      </c>
      <c r="F92" s="19">
        <v>0</v>
      </c>
      <c r="G92" s="19">
        <v>0</v>
      </c>
      <c r="H92" s="20">
        <v>1</v>
      </c>
    </row>
    <row r="93" spans="1:8" x14ac:dyDescent="0.3">
      <c r="A93" s="71"/>
      <c r="B93" s="56"/>
      <c r="C93" s="56"/>
      <c r="D93" s="57">
        <v>2</v>
      </c>
      <c r="E93" s="35">
        <v>-2.5000000000000001E-2</v>
      </c>
      <c r="F93" s="29">
        <v>0.91700000000000004</v>
      </c>
      <c r="G93" s="29">
        <v>0.39800000000000002</v>
      </c>
      <c r="H93" s="36">
        <v>-78.335999999999999</v>
      </c>
    </row>
    <row r="94" spans="1:8" x14ac:dyDescent="0.3">
      <c r="A94" s="71"/>
      <c r="B94" s="56"/>
      <c r="C94" s="56"/>
      <c r="D94" s="57"/>
      <c r="E94" s="16">
        <v>-3.6999999999999998E-2</v>
      </c>
      <c r="F94" s="11">
        <v>0.39700000000000002</v>
      </c>
      <c r="G94" s="11">
        <v>-0.91700000000000004</v>
      </c>
      <c r="H94" s="17">
        <v>14.32</v>
      </c>
    </row>
    <row r="95" spans="1:8" x14ac:dyDescent="0.3">
      <c r="A95" s="71"/>
      <c r="B95" s="56"/>
      <c r="C95" s="56"/>
      <c r="D95" s="57"/>
      <c r="E95" s="16">
        <v>-0.999</v>
      </c>
      <c r="F95" s="11">
        <v>-3.6999999999999998E-2</v>
      </c>
      <c r="G95" s="11">
        <v>2.5000000000000001E-2</v>
      </c>
      <c r="H95" s="17">
        <v>250.82</v>
      </c>
    </row>
    <row r="96" spans="1:8" ht="15" thickBot="1" x14ac:dyDescent="0.35">
      <c r="A96" s="71"/>
      <c r="B96" s="56"/>
      <c r="C96" s="56"/>
      <c r="D96" s="57"/>
      <c r="E96" s="41">
        <v>0</v>
      </c>
      <c r="F96" s="12">
        <v>0</v>
      </c>
      <c r="G96" s="12">
        <v>0</v>
      </c>
      <c r="H96" s="42">
        <v>1</v>
      </c>
    </row>
    <row r="97" spans="1:8" x14ac:dyDescent="0.3">
      <c r="A97" s="71"/>
      <c r="B97" s="56"/>
      <c r="C97" s="56"/>
      <c r="D97" s="57">
        <v>3</v>
      </c>
      <c r="E97" s="13">
        <v>-3.1E-2</v>
      </c>
      <c r="F97" s="14">
        <v>0.91900000000000004</v>
      </c>
      <c r="G97" s="14">
        <v>0.39100000000000001</v>
      </c>
      <c r="H97" s="15">
        <v>-10.39</v>
      </c>
    </row>
    <row r="98" spans="1:8" x14ac:dyDescent="0.3">
      <c r="A98" s="71"/>
      <c r="B98" s="56"/>
      <c r="C98" s="56"/>
      <c r="D98" s="57"/>
      <c r="E98" s="16">
        <v>-2.5000000000000001E-2</v>
      </c>
      <c r="F98" s="11">
        <v>0.39100000000000001</v>
      </c>
      <c r="G98" s="11">
        <v>-0.92</v>
      </c>
      <c r="H98" s="17">
        <v>-10.87</v>
      </c>
    </row>
    <row r="99" spans="1:8" x14ac:dyDescent="0.3">
      <c r="A99" s="71"/>
      <c r="B99" s="56"/>
      <c r="C99" s="56"/>
      <c r="D99" s="57"/>
      <c r="E99" s="16">
        <v>-0.999</v>
      </c>
      <c r="F99" s="11">
        <v>-3.9E-2</v>
      </c>
      <c r="G99" s="11">
        <v>1.0999999999999999E-2</v>
      </c>
      <c r="H99" s="17">
        <v>251.7</v>
      </c>
    </row>
    <row r="100" spans="1:8" ht="15" thickBot="1" x14ac:dyDescent="0.35">
      <c r="A100" s="71"/>
      <c r="B100" s="56"/>
      <c r="C100" s="56"/>
      <c r="D100" s="57"/>
      <c r="E100" s="18">
        <v>0</v>
      </c>
      <c r="F100" s="19">
        <v>0</v>
      </c>
      <c r="G100" s="19">
        <v>0</v>
      </c>
      <c r="H100" s="20">
        <v>1</v>
      </c>
    </row>
    <row r="101" spans="1:8" x14ac:dyDescent="0.3">
      <c r="A101" s="71"/>
      <c r="B101" s="56"/>
      <c r="C101" s="56"/>
      <c r="D101" s="57">
        <v>4</v>
      </c>
      <c r="E101" s="35">
        <v>-6.0000000000000001E-3</v>
      </c>
      <c r="F101" s="29">
        <v>-0.1</v>
      </c>
      <c r="G101" s="29">
        <v>-0.995</v>
      </c>
      <c r="H101" s="36">
        <v>37.97</v>
      </c>
    </row>
    <row r="102" spans="1:8" x14ac:dyDescent="0.3">
      <c r="A102" s="71"/>
      <c r="B102" s="56"/>
      <c r="C102" s="56"/>
      <c r="D102" s="57"/>
      <c r="E102" s="16">
        <v>-0.88100000000000001</v>
      </c>
      <c r="F102" s="11">
        <v>-0.47099999999999997</v>
      </c>
      <c r="G102" s="11">
        <v>-4.2000000000000003E-2</v>
      </c>
      <c r="H102" s="17">
        <v>41</v>
      </c>
    </row>
    <row r="103" spans="1:8" x14ac:dyDescent="0.3">
      <c r="A103" s="71"/>
      <c r="B103" s="56"/>
      <c r="C103" s="56"/>
      <c r="D103" s="57"/>
      <c r="E103" s="16">
        <v>-0.47199999999999998</v>
      </c>
      <c r="F103" s="11">
        <v>0.877</v>
      </c>
      <c r="G103" s="11">
        <v>9.0999999999999998E-2</v>
      </c>
      <c r="H103" s="17">
        <v>204.1</v>
      </c>
    </row>
    <row r="104" spans="1:8" ht="15" thickBot="1" x14ac:dyDescent="0.35">
      <c r="A104" s="71"/>
      <c r="B104" s="56"/>
      <c r="C104" s="56"/>
      <c r="D104" s="57"/>
      <c r="E104" s="41">
        <v>0</v>
      </c>
      <c r="F104" s="12">
        <v>0</v>
      </c>
      <c r="G104" s="12">
        <v>0</v>
      </c>
      <c r="H104" s="42">
        <v>1</v>
      </c>
    </row>
    <row r="105" spans="1:8" x14ac:dyDescent="0.3">
      <c r="A105" s="71"/>
      <c r="B105" s="56"/>
      <c r="C105" s="56"/>
      <c r="D105" s="57">
        <v>5</v>
      </c>
      <c r="E105" s="13">
        <v>-0.93500000000000005</v>
      </c>
      <c r="F105" s="14">
        <v>0.25</v>
      </c>
      <c r="G105" s="14">
        <v>-0.251</v>
      </c>
      <c r="H105" s="15">
        <v>65.36</v>
      </c>
    </row>
    <row r="106" spans="1:8" x14ac:dyDescent="0.3">
      <c r="A106" s="71"/>
      <c r="B106" s="56"/>
      <c r="C106" s="56"/>
      <c r="D106" s="57"/>
      <c r="E106" s="16">
        <v>-0.33200000000000002</v>
      </c>
      <c r="F106" s="11">
        <v>-0.86399999999999999</v>
      </c>
      <c r="G106" s="11">
        <v>0.378</v>
      </c>
      <c r="H106" s="17">
        <v>14.64</v>
      </c>
    </row>
    <row r="107" spans="1:8" x14ac:dyDescent="0.3">
      <c r="A107" s="71"/>
      <c r="B107" s="56"/>
      <c r="C107" s="56"/>
      <c r="D107" s="57"/>
      <c r="E107" s="16">
        <v>-0.122</v>
      </c>
      <c r="F107" s="11">
        <v>0.436</v>
      </c>
      <c r="G107" s="11">
        <v>0.89100000000000001</v>
      </c>
      <c r="H107" s="17">
        <v>232.82</v>
      </c>
    </row>
    <row r="108" spans="1:8" ht="15" thickBot="1" x14ac:dyDescent="0.35">
      <c r="A108" s="71"/>
      <c r="B108" s="56"/>
      <c r="C108" s="56"/>
      <c r="D108" s="57"/>
      <c r="E108" s="18">
        <v>0</v>
      </c>
      <c r="F108" s="19">
        <v>0</v>
      </c>
      <c r="G108" s="19">
        <v>0</v>
      </c>
      <c r="H108" s="20">
        <v>1</v>
      </c>
    </row>
    <row r="109" spans="1:8" x14ac:dyDescent="0.3">
      <c r="A109" s="71" t="s">
        <v>14</v>
      </c>
      <c r="B109" s="56" t="s">
        <v>15</v>
      </c>
      <c r="C109" s="56" t="s">
        <v>2</v>
      </c>
      <c r="D109" s="57">
        <v>1</v>
      </c>
      <c r="E109" s="13">
        <v>-0.90400000000000003</v>
      </c>
      <c r="F109" s="14">
        <v>2E-3</v>
      </c>
      <c r="G109" s="14">
        <v>-0.42899999999999999</v>
      </c>
      <c r="H109" s="15">
        <v>-6.77</v>
      </c>
    </row>
    <row r="110" spans="1:8" x14ac:dyDescent="0.3">
      <c r="A110" s="71"/>
      <c r="B110" s="56"/>
      <c r="C110" s="56"/>
      <c r="D110" s="57"/>
      <c r="E110" s="16">
        <v>-0.42899999999999999</v>
      </c>
      <c r="F110" s="11">
        <v>-1E-3</v>
      </c>
      <c r="G110" s="11">
        <v>0.90300000000000002</v>
      </c>
      <c r="H110" s="17">
        <v>46.49</v>
      </c>
    </row>
    <row r="111" spans="1:8" x14ac:dyDescent="0.3">
      <c r="A111" s="71"/>
      <c r="B111" s="56"/>
      <c r="C111" s="56"/>
      <c r="D111" s="57"/>
      <c r="E111" s="16">
        <v>2E-3</v>
      </c>
      <c r="F111" s="11">
        <v>0.999</v>
      </c>
      <c r="G111" s="11">
        <v>1E-3</v>
      </c>
      <c r="H111" s="17">
        <v>246.24</v>
      </c>
    </row>
    <row r="112" spans="1:8" ht="15" thickBot="1" x14ac:dyDescent="0.35">
      <c r="A112" s="71"/>
      <c r="B112" s="56"/>
      <c r="C112" s="56"/>
      <c r="D112" s="57"/>
      <c r="E112" s="18">
        <v>0</v>
      </c>
      <c r="F112" s="19">
        <v>0</v>
      </c>
      <c r="G112" s="19">
        <v>0</v>
      </c>
      <c r="H112" s="20">
        <v>1</v>
      </c>
    </row>
    <row r="113" spans="1:8" x14ac:dyDescent="0.3">
      <c r="A113" s="71"/>
      <c r="B113" s="56"/>
      <c r="C113" s="56"/>
      <c r="D113" s="57">
        <v>2</v>
      </c>
      <c r="E113" s="13">
        <v>-0.90400000000000003</v>
      </c>
      <c r="F113" s="14">
        <v>5.6000000000000001E-2</v>
      </c>
      <c r="G113" s="14">
        <v>-0.42299999999999999</v>
      </c>
      <c r="H113" s="15">
        <v>-54.25</v>
      </c>
    </row>
    <row r="114" spans="1:8" x14ac:dyDescent="0.3">
      <c r="A114" s="71"/>
      <c r="B114" s="56"/>
      <c r="C114" s="56"/>
      <c r="D114" s="57"/>
      <c r="E114" s="16">
        <v>-0.42599999999999999</v>
      </c>
      <c r="F114" s="11">
        <v>-5.6000000000000001E-2</v>
      </c>
      <c r="G114" s="11">
        <v>0.90300000000000002</v>
      </c>
      <c r="H114" s="17">
        <v>23.51</v>
      </c>
    </row>
    <row r="115" spans="1:8" x14ac:dyDescent="0.3">
      <c r="A115" s="71"/>
      <c r="B115" s="56"/>
      <c r="C115" s="56"/>
      <c r="D115" s="57"/>
      <c r="E115" s="16">
        <v>2.7E-2</v>
      </c>
      <c r="F115" s="11">
        <v>0.997</v>
      </c>
      <c r="G115" s="11">
        <v>7.3999999999999996E-2</v>
      </c>
      <c r="H115" s="17">
        <v>245.66</v>
      </c>
    </row>
    <row r="116" spans="1:8" ht="15" thickBot="1" x14ac:dyDescent="0.35">
      <c r="A116" s="71"/>
      <c r="B116" s="56"/>
      <c r="C116" s="56"/>
      <c r="D116" s="57"/>
      <c r="E116" s="18">
        <v>0</v>
      </c>
      <c r="F116" s="19">
        <v>0</v>
      </c>
      <c r="G116" s="19">
        <v>0</v>
      </c>
      <c r="H116" s="20">
        <v>1</v>
      </c>
    </row>
    <row r="117" spans="1:8" x14ac:dyDescent="0.3">
      <c r="A117" s="71"/>
      <c r="B117" s="56"/>
      <c r="C117" s="56"/>
      <c r="D117" s="57">
        <v>3</v>
      </c>
      <c r="E117" s="13">
        <v>-0.42099999999999999</v>
      </c>
      <c r="F117" s="14">
        <v>3.0000000000000001E-3</v>
      </c>
      <c r="G117" s="14">
        <v>-0.90700000000000003</v>
      </c>
      <c r="H117" s="15">
        <v>0.56699999999999995</v>
      </c>
    </row>
    <row r="118" spans="1:8" x14ac:dyDescent="0.3">
      <c r="A118" s="71"/>
      <c r="B118" s="56"/>
      <c r="C118" s="56"/>
      <c r="D118" s="57"/>
      <c r="E118" s="16">
        <v>0.90600000000000003</v>
      </c>
      <c r="F118" s="11">
        <v>-3.4000000000000002E-2</v>
      </c>
      <c r="G118" s="11">
        <v>-0.42099999999999999</v>
      </c>
      <c r="H118" s="17">
        <v>-37.11</v>
      </c>
    </row>
    <row r="119" spans="1:8" x14ac:dyDescent="0.3">
      <c r="A119" s="71"/>
      <c r="B119" s="56"/>
      <c r="C119" s="56"/>
      <c r="D119" s="57"/>
      <c r="E119" s="16">
        <v>-3.2000000000000001E-2</v>
      </c>
      <c r="F119" s="11">
        <v>-0.99399999999999999</v>
      </c>
      <c r="G119" s="11">
        <v>1.0999999999999999E-2</v>
      </c>
      <c r="H119" s="17">
        <v>244.83</v>
      </c>
    </row>
    <row r="120" spans="1:8" ht="15" thickBot="1" x14ac:dyDescent="0.35">
      <c r="A120" s="71"/>
      <c r="B120" s="56"/>
      <c r="C120" s="56"/>
      <c r="D120" s="57"/>
      <c r="E120" s="18">
        <v>0</v>
      </c>
      <c r="F120" s="19">
        <v>0</v>
      </c>
      <c r="G120" s="19">
        <v>0</v>
      </c>
      <c r="H120" s="20">
        <v>1</v>
      </c>
    </row>
    <row r="121" spans="1:8" x14ac:dyDescent="0.3">
      <c r="A121" s="71"/>
      <c r="B121" s="56"/>
      <c r="C121" s="56"/>
      <c r="D121" s="57">
        <v>4</v>
      </c>
      <c r="E121" s="13">
        <v>-3.7999999999999999E-2</v>
      </c>
      <c r="F121" s="14">
        <v>-0.112</v>
      </c>
      <c r="G121" s="14">
        <v>-0.99199999999999999</v>
      </c>
      <c r="H121" s="15">
        <v>38.78</v>
      </c>
    </row>
    <row r="122" spans="1:8" x14ac:dyDescent="0.3">
      <c r="A122" s="71"/>
      <c r="B122" s="56"/>
      <c r="C122" s="56"/>
      <c r="D122" s="57"/>
      <c r="E122" s="16">
        <v>0.63500000000000001</v>
      </c>
      <c r="F122" s="11">
        <v>-0.77</v>
      </c>
      <c r="G122" s="11">
        <v>6.8000000000000005E-2</v>
      </c>
      <c r="H122" s="17">
        <v>20.03</v>
      </c>
    </row>
    <row r="123" spans="1:8" x14ac:dyDescent="0.3">
      <c r="A123" s="71"/>
      <c r="B123" s="56"/>
      <c r="C123" s="56"/>
      <c r="D123" s="57"/>
      <c r="E123" s="16">
        <v>-0.77200000000000002</v>
      </c>
      <c r="F123" s="11">
        <v>-0.627</v>
      </c>
      <c r="G123" s="11">
        <v>0.106</v>
      </c>
      <c r="H123" s="17">
        <v>223.61</v>
      </c>
    </row>
    <row r="124" spans="1:8" ht="15" thickBot="1" x14ac:dyDescent="0.35">
      <c r="A124" s="71"/>
      <c r="B124" s="56"/>
      <c r="C124" s="56"/>
      <c r="D124" s="57"/>
      <c r="E124" s="18">
        <v>0</v>
      </c>
      <c r="F124" s="19">
        <v>0</v>
      </c>
      <c r="G124" s="19">
        <v>0</v>
      </c>
      <c r="H124" s="20">
        <v>1</v>
      </c>
    </row>
    <row r="125" spans="1:8" x14ac:dyDescent="0.3">
      <c r="A125" s="71"/>
      <c r="B125" s="56"/>
      <c r="C125" s="56"/>
      <c r="D125" s="57">
        <v>5</v>
      </c>
      <c r="E125" s="35">
        <v>-0.92100000000000004</v>
      </c>
      <c r="F125" s="29">
        <v>0.25</v>
      </c>
      <c r="G125" s="29">
        <v>-0.248</v>
      </c>
      <c r="H125" s="36">
        <v>55.61</v>
      </c>
    </row>
    <row r="126" spans="1:8" x14ac:dyDescent="0.3">
      <c r="A126" s="71"/>
      <c r="B126" s="56"/>
      <c r="C126" s="56"/>
      <c r="D126" s="57"/>
      <c r="E126" s="16">
        <v>-0.31</v>
      </c>
      <c r="F126" s="11">
        <v>-0.79900000000000004</v>
      </c>
      <c r="G126" s="11">
        <v>0.36899999999999999</v>
      </c>
      <c r="H126" s="17">
        <v>17.46</v>
      </c>
    </row>
    <row r="127" spans="1:8" x14ac:dyDescent="0.3">
      <c r="A127" s="71"/>
      <c r="B127" s="56"/>
      <c r="C127" s="56"/>
      <c r="D127" s="57"/>
      <c r="E127" s="16">
        <v>-0.14000000000000001</v>
      </c>
      <c r="F127" s="11">
        <v>0.44400000000000001</v>
      </c>
      <c r="G127" s="11">
        <v>0.89600000000000002</v>
      </c>
      <c r="H127" s="17">
        <v>233.56</v>
      </c>
    </row>
    <row r="128" spans="1:8" ht="15" thickBot="1" x14ac:dyDescent="0.35">
      <c r="A128" s="71"/>
      <c r="B128" s="56"/>
      <c r="C128" s="56"/>
      <c r="D128" s="57"/>
      <c r="E128" s="18">
        <v>0</v>
      </c>
      <c r="F128" s="19">
        <v>0</v>
      </c>
      <c r="G128" s="19">
        <v>0</v>
      </c>
      <c r="H128" s="20">
        <v>1</v>
      </c>
    </row>
    <row r="129" spans="1:8" x14ac:dyDescent="0.3">
      <c r="A129" s="71"/>
      <c r="B129" s="56" t="s">
        <v>15</v>
      </c>
      <c r="C129" s="56" t="s">
        <v>4</v>
      </c>
      <c r="D129" s="57">
        <v>1</v>
      </c>
      <c r="E129" s="13">
        <v>-0.40300000000000002</v>
      </c>
      <c r="F129" s="14">
        <v>-1.7000000000000001E-2</v>
      </c>
      <c r="G129" s="14">
        <v>-0.91500000000000004</v>
      </c>
      <c r="H129" s="15">
        <v>-11.28</v>
      </c>
    </row>
    <row r="130" spans="1:8" x14ac:dyDescent="0.3">
      <c r="A130" s="71"/>
      <c r="B130" s="56"/>
      <c r="C130" s="56"/>
      <c r="D130" s="57"/>
      <c r="E130" s="16">
        <v>0.91500000000000004</v>
      </c>
      <c r="F130" s="11">
        <v>2.8000000000000001E-2</v>
      </c>
      <c r="G130" s="11">
        <v>-0.40300000000000002</v>
      </c>
      <c r="H130" s="17">
        <v>-9.19</v>
      </c>
    </row>
    <row r="131" spans="1:8" x14ac:dyDescent="0.3">
      <c r="A131" s="71"/>
      <c r="B131" s="56"/>
      <c r="C131" s="56"/>
      <c r="D131" s="57"/>
      <c r="E131" s="16">
        <v>0.33</v>
      </c>
      <c r="F131" s="11">
        <v>-0.999</v>
      </c>
      <c r="G131" s="11">
        <v>4.0000000000000001E-3</v>
      </c>
      <c r="H131" s="17">
        <v>239.61</v>
      </c>
    </row>
    <row r="132" spans="1:8" ht="15" thickBot="1" x14ac:dyDescent="0.35">
      <c r="A132" s="71"/>
      <c r="B132" s="56"/>
      <c r="C132" s="56"/>
      <c r="D132" s="57"/>
      <c r="E132" s="18">
        <v>0</v>
      </c>
      <c r="F132" s="19">
        <v>0</v>
      </c>
      <c r="G132" s="19">
        <v>0</v>
      </c>
      <c r="H132" s="20">
        <v>1</v>
      </c>
    </row>
    <row r="133" spans="1:8" x14ac:dyDescent="0.3">
      <c r="A133" s="71"/>
      <c r="B133" s="56"/>
      <c r="C133" s="56"/>
      <c r="D133" s="57">
        <v>2</v>
      </c>
      <c r="E133" s="13">
        <v>-0.42599999999999999</v>
      </c>
      <c r="F133" s="14">
        <v>-0.05</v>
      </c>
      <c r="G133" s="14">
        <v>-0.90300000000000002</v>
      </c>
      <c r="H133" s="15">
        <v>-58.57</v>
      </c>
    </row>
    <row r="134" spans="1:8" x14ac:dyDescent="0.3">
      <c r="A134" s="71"/>
      <c r="B134" s="56"/>
      <c r="C134" s="56"/>
      <c r="D134" s="57"/>
      <c r="E134" s="16">
        <v>0.90500000000000003</v>
      </c>
      <c r="F134" s="11">
        <v>-2.5999999999999999E-2</v>
      </c>
      <c r="G134" s="11">
        <v>-0.42499999999999999</v>
      </c>
      <c r="H134" s="17">
        <v>-31.43</v>
      </c>
    </row>
    <row r="135" spans="1:8" x14ac:dyDescent="0.3">
      <c r="A135" s="71"/>
      <c r="B135" s="56"/>
      <c r="C135" s="56"/>
      <c r="D135" s="57"/>
      <c r="E135" s="16">
        <v>-2E-3</v>
      </c>
      <c r="F135" s="11">
        <v>-0.998</v>
      </c>
      <c r="G135" s="11">
        <v>0.56399999999999995</v>
      </c>
      <c r="H135" s="17">
        <v>241.94</v>
      </c>
    </row>
    <row r="136" spans="1:8" ht="15" thickBot="1" x14ac:dyDescent="0.35">
      <c r="A136" s="71"/>
      <c r="B136" s="56"/>
      <c r="C136" s="56"/>
      <c r="D136" s="57"/>
      <c r="E136" s="18">
        <v>0</v>
      </c>
      <c r="F136" s="19">
        <v>0</v>
      </c>
      <c r="G136" s="19">
        <v>0</v>
      </c>
      <c r="H136" s="20">
        <v>1</v>
      </c>
    </row>
    <row r="137" spans="1:8" x14ac:dyDescent="0.3">
      <c r="A137" s="71"/>
      <c r="B137" s="56"/>
      <c r="C137" s="56"/>
      <c r="D137" s="57">
        <v>3</v>
      </c>
      <c r="E137" s="13">
        <v>-0.40699999999999997</v>
      </c>
      <c r="F137" s="14">
        <v>-1.2999999999999999E-2</v>
      </c>
      <c r="G137" s="14">
        <v>-0.91300000000000003</v>
      </c>
      <c r="H137" s="15">
        <v>8.7100000000000009</v>
      </c>
    </row>
    <row r="138" spans="1:8" x14ac:dyDescent="0.3">
      <c r="A138" s="71"/>
      <c r="B138" s="56"/>
      <c r="C138" s="56"/>
      <c r="D138" s="57"/>
      <c r="E138" s="16">
        <v>0.91300000000000003</v>
      </c>
      <c r="F138" s="11">
        <v>5.0000000000000001E-3</v>
      </c>
      <c r="G138" s="11">
        <v>-0.40699999999999997</v>
      </c>
      <c r="H138" s="17">
        <v>-56.81</v>
      </c>
    </row>
    <row r="139" spans="1:8" x14ac:dyDescent="0.3">
      <c r="A139" s="71"/>
      <c r="B139" s="56"/>
      <c r="C139" s="56"/>
      <c r="D139" s="57"/>
      <c r="E139" s="16">
        <v>0.01</v>
      </c>
      <c r="F139" s="11">
        <v>-1</v>
      </c>
      <c r="G139" s="11">
        <v>0.01</v>
      </c>
      <c r="H139" s="17">
        <v>239.9</v>
      </c>
    </row>
    <row r="140" spans="1:8" ht="15" thickBot="1" x14ac:dyDescent="0.35">
      <c r="A140" s="71"/>
      <c r="B140" s="56"/>
      <c r="C140" s="56"/>
      <c r="D140" s="57"/>
      <c r="E140" s="18">
        <v>0</v>
      </c>
      <c r="F140" s="19">
        <v>0</v>
      </c>
      <c r="G140" s="19">
        <v>0</v>
      </c>
      <c r="H140" s="20">
        <v>1</v>
      </c>
    </row>
    <row r="141" spans="1:8" x14ac:dyDescent="0.3">
      <c r="A141" s="71"/>
      <c r="B141" s="56"/>
      <c r="C141" s="56"/>
      <c r="D141" s="57">
        <v>4</v>
      </c>
      <c r="E141" s="13">
        <v>5.5E-2</v>
      </c>
      <c r="F141" s="14">
        <v>-0.82799999999999996</v>
      </c>
      <c r="G141" s="14">
        <v>-0.55800000000000005</v>
      </c>
      <c r="H141" s="15">
        <v>38.43</v>
      </c>
    </row>
    <row r="142" spans="1:8" x14ac:dyDescent="0.3">
      <c r="A142" s="71"/>
      <c r="B142" s="56"/>
      <c r="C142" s="56"/>
      <c r="D142" s="57"/>
      <c r="E142" s="16">
        <v>-0.29599999999999999</v>
      </c>
      <c r="F142" s="11">
        <v>0.52</v>
      </c>
      <c r="G142" s="11">
        <v>-0.80100000000000005</v>
      </c>
      <c r="H142" s="17">
        <v>22.17</v>
      </c>
    </row>
    <row r="143" spans="1:8" x14ac:dyDescent="0.3">
      <c r="A143" s="71"/>
      <c r="B143" s="56"/>
      <c r="C143" s="56"/>
      <c r="D143" s="57"/>
      <c r="E143" s="16">
        <v>0.95399999999999996</v>
      </c>
      <c r="F143" s="11">
        <v>0.20899999999999999</v>
      </c>
      <c r="G143" s="11">
        <v>-0.216</v>
      </c>
      <c r="H143" s="17">
        <v>205.2</v>
      </c>
    </row>
    <row r="144" spans="1:8" ht="15" thickBot="1" x14ac:dyDescent="0.35">
      <c r="A144" s="71"/>
      <c r="B144" s="56"/>
      <c r="C144" s="56"/>
      <c r="D144" s="57"/>
      <c r="E144" s="18">
        <v>0</v>
      </c>
      <c r="F144" s="19">
        <v>0</v>
      </c>
      <c r="G144" s="19">
        <v>0</v>
      </c>
      <c r="H144" s="20">
        <v>1</v>
      </c>
    </row>
    <row r="145" spans="1:8" x14ac:dyDescent="0.3">
      <c r="A145" s="71"/>
      <c r="B145" s="56"/>
      <c r="C145" s="56"/>
      <c r="D145" s="57">
        <v>5</v>
      </c>
      <c r="E145" s="13">
        <v>-0.182</v>
      </c>
      <c r="F145" s="14">
        <v>0.47299999999999998</v>
      </c>
      <c r="G145" s="14">
        <v>0.86199999999999999</v>
      </c>
      <c r="H145" s="15">
        <v>46.55</v>
      </c>
    </row>
    <row r="146" spans="1:8" x14ac:dyDescent="0.3">
      <c r="A146" s="71"/>
      <c r="B146" s="56"/>
      <c r="C146" s="56"/>
      <c r="D146" s="57"/>
      <c r="E146" s="16">
        <v>-0.32100000000000001</v>
      </c>
      <c r="F146" s="11">
        <v>-0.85699999999999998</v>
      </c>
      <c r="G146" s="11">
        <v>0.40300000000000002</v>
      </c>
      <c r="H146" s="17">
        <v>-2</v>
      </c>
    </row>
    <row r="147" spans="1:8" x14ac:dyDescent="0.3">
      <c r="A147" s="71"/>
      <c r="B147" s="56"/>
      <c r="C147" s="56"/>
      <c r="D147" s="57"/>
      <c r="E147" s="16">
        <v>0.93</v>
      </c>
      <c r="F147" s="11">
        <v>-0.20300000000000001</v>
      </c>
      <c r="G147" s="11">
        <v>0.308</v>
      </c>
      <c r="H147" s="17">
        <v>183.85</v>
      </c>
    </row>
    <row r="148" spans="1:8" ht="15" thickBot="1" x14ac:dyDescent="0.35">
      <c r="A148" s="71"/>
      <c r="B148" s="56"/>
      <c r="C148" s="56"/>
      <c r="D148" s="57"/>
      <c r="E148" s="18">
        <v>0</v>
      </c>
      <c r="F148" s="19">
        <v>0</v>
      </c>
      <c r="G148" s="19">
        <v>0</v>
      </c>
      <c r="H148" s="20">
        <v>1</v>
      </c>
    </row>
    <row r="149" spans="1:8" x14ac:dyDescent="0.3">
      <c r="A149" s="71"/>
      <c r="B149" s="56" t="s">
        <v>15</v>
      </c>
      <c r="C149" s="56" t="s">
        <v>5</v>
      </c>
      <c r="D149" s="57">
        <v>1</v>
      </c>
      <c r="E149" s="13">
        <v>-0.39900000000000002</v>
      </c>
      <c r="F149" s="14">
        <v>1.7000000000000001E-2</v>
      </c>
      <c r="G149" s="14">
        <v>-0.91600000000000004</v>
      </c>
      <c r="H149" s="15">
        <v>-16.07</v>
      </c>
    </row>
    <row r="150" spans="1:8" x14ac:dyDescent="0.3">
      <c r="A150" s="71"/>
      <c r="B150" s="56"/>
      <c r="C150" s="56"/>
      <c r="D150" s="57"/>
      <c r="E150" s="16">
        <v>0.91700000000000004</v>
      </c>
      <c r="F150" s="11">
        <v>1.2999999999999999E-2</v>
      </c>
      <c r="G150" s="11">
        <v>-0.39900000000000002</v>
      </c>
      <c r="H150" s="17">
        <v>3.54</v>
      </c>
    </row>
    <row r="151" spans="1:8" x14ac:dyDescent="0.3">
      <c r="A151" s="71"/>
      <c r="B151" s="56"/>
      <c r="C151" s="56"/>
      <c r="D151" s="57"/>
      <c r="E151" s="16">
        <v>5.0000000000000001E-3</v>
      </c>
      <c r="F151" s="11">
        <v>-0.999</v>
      </c>
      <c r="G151" s="11">
        <v>-2.1000000000000001E-2</v>
      </c>
      <c r="H151" s="17">
        <v>240.68</v>
      </c>
    </row>
    <row r="152" spans="1:8" ht="15" thickBot="1" x14ac:dyDescent="0.35">
      <c r="A152" s="71"/>
      <c r="B152" s="56"/>
      <c r="C152" s="56"/>
      <c r="D152" s="57"/>
      <c r="E152" s="18">
        <v>0</v>
      </c>
      <c r="F152" s="19">
        <v>0</v>
      </c>
      <c r="G152" s="19">
        <v>0</v>
      </c>
      <c r="H152" s="20">
        <v>1</v>
      </c>
    </row>
    <row r="153" spans="1:8" x14ac:dyDescent="0.3">
      <c r="A153" s="71"/>
      <c r="B153" s="56"/>
      <c r="C153" s="56"/>
      <c r="D153" s="57">
        <v>2</v>
      </c>
      <c r="E153" s="13">
        <v>-0.4</v>
      </c>
      <c r="F153" s="14">
        <v>-3.0000000000000001E-3</v>
      </c>
      <c r="G153" s="14">
        <v>-0.91700000000000004</v>
      </c>
      <c r="H153" s="15">
        <v>-63.74</v>
      </c>
    </row>
    <row r="154" spans="1:8" x14ac:dyDescent="0.3">
      <c r="A154" s="71"/>
      <c r="B154" s="56"/>
      <c r="C154" s="56"/>
      <c r="D154" s="57"/>
      <c r="E154" s="16">
        <v>0.91600000000000004</v>
      </c>
      <c r="F154" s="11">
        <v>-1.2999999999999999E-2</v>
      </c>
      <c r="G154" s="11">
        <v>-0.4</v>
      </c>
      <c r="H154" s="17">
        <v>-19.09</v>
      </c>
    </row>
    <row r="155" spans="1:8" x14ac:dyDescent="0.3">
      <c r="A155" s="71"/>
      <c r="B155" s="56"/>
      <c r="C155" s="56"/>
      <c r="D155" s="57"/>
      <c r="E155" s="16">
        <v>-0.01</v>
      </c>
      <c r="F155" s="11">
        <v>-1</v>
      </c>
      <c r="G155" s="11">
        <v>8.0000000000000002E-3</v>
      </c>
      <c r="H155" s="17">
        <v>242.83</v>
      </c>
    </row>
    <row r="156" spans="1:8" ht="15" thickBot="1" x14ac:dyDescent="0.35">
      <c r="A156" s="71"/>
      <c r="B156" s="56"/>
      <c r="C156" s="56"/>
      <c r="D156" s="57"/>
      <c r="E156" s="18">
        <v>0</v>
      </c>
      <c r="F156" s="19">
        <v>0</v>
      </c>
      <c r="G156" s="19">
        <v>0</v>
      </c>
      <c r="H156" s="20">
        <v>1</v>
      </c>
    </row>
    <row r="157" spans="1:8" x14ac:dyDescent="0.3">
      <c r="A157" s="71"/>
      <c r="B157" s="56"/>
      <c r="C157" s="56"/>
      <c r="D157" s="57">
        <v>3</v>
      </c>
      <c r="E157" s="13">
        <v>-0.39500000000000002</v>
      </c>
      <c r="F157" s="14">
        <v>-1.6E-2</v>
      </c>
      <c r="G157" s="14">
        <v>-0.91800000000000004</v>
      </c>
      <c r="H157" s="15">
        <v>3.98</v>
      </c>
    </row>
    <row r="158" spans="1:8" x14ac:dyDescent="0.3">
      <c r="A158" s="71"/>
      <c r="B158" s="56"/>
      <c r="C158" s="56"/>
      <c r="D158" s="57"/>
      <c r="E158" s="16">
        <v>0.91900000000000004</v>
      </c>
      <c r="F158" s="11">
        <v>-0.01</v>
      </c>
      <c r="G158" s="11">
        <v>-0.39500000000000002</v>
      </c>
      <c r="H158" s="17">
        <v>-44.26</v>
      </c>
    </row>
    <row r="159" spans="1:8" x14ac:dyDescent="0.3">
      <c r="A159" s="71"/>
      <c r="B159" s="56"/>
      <c r="C159" s="56"/>
      <c r="D159" s="57"/>
      <c r="E159" s="16">
        <v>-3.0000000000000001E-3</v>
      </c>
      <c r="F159" s="11">
        <v>-1</v>
      </c>
      <c r="G159" s="11">
        <v>1.9E-2</v>
      </c>
      <c r="H159" s="17">
        <v>241.07</v>
      </c>
    </row>
    <row r="160" spans="1:8" ht="15" thickBot="1" x14ac:dyDescent="0.35">
      <c r="A160" s="71"/>
      <c r="B160" s="56"/>
      <c r="C160" s="56"/>
      <c r="D160" s="57"/>
      <c r="E160" s="18">
        <v>0</v>
      </c>
      <c r="F160" s="19">
        <v>0</v>
      </c>
      <c r="G160" s="19">
        <v>0</v>
      </c>
      <c r="H160" s="20">
        <v>1</v>
      </c>
    </row>
    <row r="161" spans="1:8" x14ac:dyDescent="0.3">
      <c r="A161" s="71"/>
      <c r="B161" s="56"/>
      <c r="C161" s="56"/>
      <c r="D161" s="57">
        <v>4</v>
      </c>
      <c r="E161" s="13">
        <v>0.57999999999999996</v>
      </c>
      <c r="F161" s="14">
        <v>0.223</v>
      </c>
      <c r="G161" s="14">
        <v>0.78400000000000003</v>
      </c>
      <c r="H161" s="15">
        <v>43.57</v>
      </c>
    </row>
    <row r="162" spans="1:8" x14ac:dyDescent="0.3">
      <c r="A162" s="71"/>
      <c r="B162" s="56"/>
      <c r="C162" s="56"/>
      <c r="D162" s="57"/>
      <c r="E162" s="16">
        <v>-0.53100000000000003</v>
      </c>
      <c r="F162" s="11">
        <v>-0.626</v>
      </c>
      <c r="G162" s="11">
        <v>0.57099999999999995</v>
      </c>
      <c r="H162" s="17">
        <v>48.17</v>
      </c>
    </row>
    <row r="163" spans="1:8" x14ac:dyDescent="0.3">
      <c r="A163" s="71"/>
      <c r="B163" s="56"/>
      <c r="C163" s="56"/>
      <c r="D163" s="57"/>
      <c r="E163" s="16">
        <v>0.61799999999999999</v>
      </c>
      <c r="F163" s="11">
        <v>-0.747</v>
      </c>
      <c r="G163" s="11">
        <v>-0.245</v>
      </c>
      <c r="H163" s="17">
        <v>218.75</v>
      </c>
    </row>
    <row r="164" spans="1:8" ht="15" thickBot="1" x14ac:dyDescent="0.35">
      <c r="A164" s="71"/>
      <c r="B164" s="56"/>
      <c r="C164" s="56"/>
      <c r="D164" s="57"/>
      <c r="E164" s="18">
        <v>0</v>
      </c>
      <c r="F164" s="19">
        <v>0</v>
      </c>
      <c r="G164" s="19">
        <v>0</v>
      </c>
      <c r="H164" s="20">
        <v>1</v>
      </c>
    </row>
    <row r="165" spans="1:8" x14ac:dyDescent="0.3">
      <c r="A165" s="71"/>
      <c r="B165" s="56"/>
      <c r="C165" s="56"/>
      <c r="D165" s="57">
        <v>5</v>
      </c>
      <c r="E165" s="13">
        <v>-0.628</v>
      </c>
      <c r="F165" s="14">
        <v>-0.52600000000000002</v>
      </c>
      <c r="G165" s="14">
        <v>-0.57399999999999995</v>
      </c>
      <c r="H165" s="15">
        <v>46.08</v>
      </c>
    </row>
    <row r="166" spans="1:8" x14ac:dyDescent="0.3">
      <c r="A166" s="71"/>
      <c r="B166" s="56"/>
      <c r="C166" s="56"/>
      <c r="D166" s="57"/>
      <c r="E166" s="16">
        <v>-0.443</v>
      </c>
      <c r="F166" s="11">
        <v>-0.84799999999999998</v>
      </c>
      <c r="G166" s="11">
        <v>-0.29199999999999998</v>
      </c>
      <c r="H166" s="17">
        <v>29.12</v>
      </c>
    </row>
    <row r="167" spans="1:8" x14ac:dyDescent="0.3">
      <c r="A167" s="71"/>
      <c r="B167" s="56"/>
      <c r="C167" s="56"/>
      <c r="D167" s="57"/>
      <c r="E167" s="16">
        <v>0.63400000000000001</v>
      </c>
      <c r="F167" s="11">
        <v>7.0999999999999994E-2</v>
      </c>
      <c r="G167" s="11">
        <v>-0.76500000000000001</v>
      </c>
      <c r="H167" s="17">
        <v>172.87</v>
      </c>
    </row>
    <row r="168" spans="1:8" ht="15" thickBot="1" x14ac:dyDescent="0.35">
      <c r="A168" s="71"/>
      <c r="B168" s="56"/>
      <c r="C168" s="56"/>
      <c r="D168" s="57"/>
      <c r="E168" s="18">
        <v>0</v>
      </c>
      <c r="F168" s="19">
        <v>0</v>
      </c>
      <c r="G168" s="19">
        <v>0</v>
      </c>
      <c r="H168" s="20">
        <v>1</v>
      </c>
    </row>
    <row r="169" spans="1:8" x14ac:dyDescent="0.3">
      <c r="A169" s="71"/>
      <c r="B169" s="56" t="s">
        <v>15</v>
      </c>
      <c r="C169" s="56" t="s">
        <v>6</v>
      </c>
      <c r="D169" s="57">
        <v>1</v>
      </c>
      <c r="E169" s="13">
        <v>-1.0999999999999999E-2</v>
      </c>
      <c r="F169" s="14">
        <v>0.39200000000000002</v>
      </c>
      <c r="G169" s="14">
        <v>-0.92</v>
      </c>
      <c r="H169" s="15">
        <v>-30.92</v>
      </c>
    </row>
    <row r="170" spans="1:8" x14ac:dyDescent="0.3">
      <c r="A170" s="71"/>
      <c r="B170" s="56"/>
      <c r="C170" s="56"/>
      <c r="D170" s="57"/>
      <c r="E170" s="16">
        <v>0</v>
      </c>
      <c r="F170" s="11">
        <v>-0.92</v>
      </c>
      <c r="G170" s="11">
        <v>-0.39200000000000002</v>
      </c>
      <c r="H170" s="17">
        <v>36.93</v>
      </c>
    </row>
    <row r="171" spans="1:8" x14ac:dyDescent="0.3">
      <c r="A171" s="71"/>
      <c r="B171" s="56"/>
      <c r="C171" s="56"/>
      <c r="D171" s="57"/>
      <c r="E171" s="16">
        <v>-1</v>
      </c>
      <c r="F171" s="11">
        <v>-4.0000000000000001E-3</v>
      </c>
      <c r="G171" s="11">
        <v>0.01</v>
      </c>
      <c r="H171" s="17">
        <v>250.81</v>
      </c>
    </row>
    <row r="172" spans="1:8" ht="15" thickBot="1" x14ac:dyDescent="0.35">
      <c r="A172" s="71"/>
      <c r="B172" s="56"/>
      <c r="C172" s="56"/>
      <c r="D172" s="57"/>
      <c r="E172" s="18">
        <v>0</v>
      </c>
      <c r="F172" s="19">
        <v>0</v>
      </c>
      <c r="G172" s="19">
        <v>0</v>
      </c>
      <c r="H172" s="20">
        <v>1</v>
      </c>
    </row>
    <row r="173" spans="1:8" x14ac:dyDescent="0.3">
      <c r="A173" s="71"/>
      <c r="B173" s="56"/>
      <c r="C173" s="56"/>
      <c r="D173" s="57">
        <v>2</v>
      </c>
      <c r="E173" s="13">
        <v>-2.4E-2</v>
      </c>
      <c r="F173" s="14">
        <v>-0.91700000000000004</v>
      </c>
      <c r="G173" s="14">
        <v>-0.39800000000000002</v>
      </c>
      <c r="H173" s="15">
        <v>-78.28</v>
      </c>
    </row>
    <row r="174" spans="1:8" x14ac:dyDescent="0.3">
      <c r="A174" s="71"/>
      <c r="B174" s="56"/>
      <c r="C174" s="56"/>
      <c r="D174" s="57"/>
      <c r="E174" s="16">
        <v>-2.3E-2</v>
      </c>
      <c r="F174" s="11">
        <v>-0.39700000000000002</v>
      </c>
      <c r="G174" s="11">
        <v>0.91700000000000004</v>
      </c>
      <c r="H174" s="17">
        <v>14.29</v>
      </c>
    </row>
    <row r="175" spans="1:8" x14ac:dyDescent="0.3">
      <c r="A175" s="71"/>
      <c r="B175" s="56"/>
      <c r="C175" s="56"/>
      <c r="D175" s="57"/>
      <c r="E175" s="16">
        <v>-0.999</v>
      </c>
      <c r="F175" s="11">
        <v>3.2000000000000001E-2</v>
      </c>
      <c r="G175" s="11">
        <v>-1.7999999999999999E-2</v>
      </c>
      <c r="H175" s="17">
        <v>251.12</v>
      </c>
    </row>
    <row r="176" spans="1:8" ht="15" thickBot="1" x14ac:dyDescent="0.35">
      <c r="A176" s="71"/>
      <c r="B176" s="56"/>
      <c r="C176" s="56"/>
      <c r="D176" s="57"/>
      <c r="E176" s="18">
        <v>0</v>
      </c>
      <c r="F176" s="19">
        <v>0</v>
      </c>
      <c r="G176" s="19">
        <v>0</v>
      </c>
      <c r="H176" s="20">
        <v>1</v>
      </c>
    </row>
    <row r="177" spans="1:8" x14ac:dyDescent="0.3">
      <c r="A177" s="71"/>
      <c r="B177" s="56"/>
      <c r="C177" s="56"/>
      <c r="D177" s="57">
        <v>3</v>
      </c>
      <c r="E177" s="13">
        <v>-6.0000000000000001E-3</v>
      </c>
      <c r="F177" s="14">
        <v>-0.92200000000000004</v>
      </c>
      <c r="G177" s="14">
        <v>-0.38800000000000001</v>
      </c>
      <c r="H177" s="15">
        <v>-10.87</v>
      </c>
    </row>
    <row r="178" spans="1:8" x14ac:dyDescent="0.3">
      <c r="A178" s="71"/>
      <c r="B178" s="56"/>
      <c r="C178" s="56"/>
      <c r="D178" s="57"/>
      <c r="E178" s="16">
        <v>-1E-3</v>
      </c>
      <c r="F178" s="11">
        <v>-0.38800000000000001</v>
      </c>
      <c r="G178" s="11">
        <v>0.92200000000000004</v>
      </c>
      <c r="H178" s="17">
        <v>-11.14</v>
      </c>
    </row>
    <row r="179" spans="1:8" x14ac:dyDescent="0.3">
      <c r="A179" s="71"/>
      <c r="B179" s="56"/>
      <c r="C179" s="56"/>
      <c r="D179" s="57"/>
      <c r="E179" s="16">
        <v>-1</v>
      </c>
      <c r="F179" s="11">
        <v>6.0000000000000001E-3</v>
      </c>
      <c r="G179" s="11">
        <v>1E-3</v>
      </c>
      <c r="H179" s="17">
        <v>251.5</v>
      </c>
    </row>
    <row r="180" spans="1:8" ht="15" thickBot="1" x14ac:dyDescent="0.35">
      <c r="A180" s="71"/>
      <c r="B180" s="56"/>
      <c r="C180" s="56"/>
      <c r="D180" s="57"/>
      <c r="E180" s="18">
        <v>0</v>
      </c>
      <c r="F180" s="19">
        <v>0</v>
      </c>
      <c r="G180" s="19">
        <v>0</v>
      </c>
      <c r="H180" s="20">
        <v>1</v>
      </c>
    </row>
    <row r="181" spans="1:8" x14ac:dyDescent="0.3">
      <c r="A181" s="71"/>
      <c r="B181" s="56"/>
      <c r="C181" s="56"/>
      <c r="D181" s="57">
        <v>4</v>
      </c>
      <c r="E181" s="13">
        <v>1.7999999999999999E-2</v>
      </c>
      <c r="F181" s="14">
        <v>3.3000000000000002E-2</v>
      </c>
      <c r="G181" s="14">
        <v>0.999</v>
      </c>
      <c r="H181" s="15">
        <v>37.549999999999997</v>
      </c>
    </row>
    <row r="182" spans="1:8" x14ac:dyDescent="0.3">
      <c r="A182" s="71"/>
      <c r="B182" s="56"/>
      <c r="C182" s="56"/>
      <c r="D182" s="57"/>
      <c r="E182" s="16">
        <v>0.86099999999999999</v>
      </c>
      <c r="F182" s="11">
        <v>-0.50900000000000001</v>
      </c>
      <c r="G182" s="11">
        <v>1E-3</v>
      </c>
      <c r="H182" s="17">
        <v>24.17</v>
      </c>
    </row>
    <row r="183" spans="1:8" x14ac:dyDescent="0.3">
      <c r="A183" s="71"/>
      <c r="B183" s="56"/>
      <c r="C183" s="56"/>
      <c r="D183" s="57"/>
      <c r="E183" s="16">
        <v>0.50900000000000001</v>
      </c>
      <c r="F183" s="11">
        <v>0.86</v>
      </c>
      <c r="G183" s="11">
        <v>-3.7999999999999999E-2</v>
      </c>
      <c r="H183" s="17">
        <v>192.58</v>
      </c>
    </row>
    <row r="184" spans="1:8" ht="15" thickBot="1" x14ac:dyDescent="0.35">
      <c r="A184" s="71"/>
      <c r="B184" s="56"/>
      <c r="C184" s="56"/>
      <c r="D184" s="57"/>
      <c r="E184" s="18">
        <v>0</v>
      </c>
      <c r="F184" s="19">
        <v>0</v>
      </c>
      <c r="G184" s="19">
        <v>0</v>
      </c>
      <c r="H184" s="20">
        <v>1</v>
      </c>
    </row>
    <row r="185" spans="1:8" x14ac:dyDescent="0.3">
      <c r="A185" s="71"/>
      <c r="B185" s="56"/>
      <c r="C185" s="56"/>
      <c r="D185" s="57">
        <v>5</v>
      </c>
      <c r="E185" s="13">
        <v>-0.66800000000000004</v>
      </c>
      <c r="F185" s="14">
        <v>-0.73099999999999998</v>
      </c>
      <c r="G185" s="14">
        <v>0.13800000000000001</v>
      </c>
      <c r="H185" s="15">
        <v>3.33</v>
      </c>
    </row>
    <row r="186" spans="1:8" x14ac:dyDescent="0.3">
      <c r="A186" s="71"/>
      <c r="B186" s="56"/>
      <c r="C186" s="56"/>
      <c r="D186" s="57"/>
      <c r="E186" s="16">
        <v>0.73399999999999999</v>
      </c>
      <c r="F186" s="11">
        <v>-0.67800000000000005</v>
      </c>
      <c r="G186" s="11">
        <v>-3.7999999999999999E-2</v>
      </c>
      <c r="H186" s="17">
        <v>6.24</v>
      </c>
    </row>
    <row r="187" spans="1:8" x14ac:dyDescent="0.3">
      <c r="A187" s="71"/>
      <c r="B187" s="56"/>
      <c r="C187" s="56"/>
      <c r="D187" s="57"/>
      <c r="E187" s="16">
        <v>0.121</v>
      </c>
      <c r="F187" s="11">
        <v>7.5999999999999998E-2</v>
      </c>
      <c r="G187" s="11">
        <v>0.99</v>
      </c>
      <c r="H187" s="17">
        <v>264.58</v>
      </c>
    </row>
    <row r="188" spans="1:8" ht="15" thickBot="1" x14ac:dyDescent="0.35">
      <c r="A188" s="71"/>
      <c r="B188" s="56"/>
      <c r="C188" s="56"/>
      <c r="D188" s="57"/>
      <c r="E188" s="18">
        <v>0</v>
      </c>
      <c r="F188" s="19">
        <v>0</v>
      </c>
      <c r="G188" s="19">
        <v>0</v>
      </c>
      <c r="H188" s="20">
        <v>1</v>
      </c>
    </row>
  </sheetData>
  <mergeCells count="72">
    <mergeCell ref="A2:H3"/>
    <mergeCell ref="A4:A24"/>
    <mergeCell ref="E4:H4"/>
    <mergeCell ref="B5:B24"/>
    <mergeCell ref="C5:C24"/>
    <mergeCell ref="D5:D8"/>
    <mergeCell ref="D9:D12"/>
    <mergeCell ref="D13:D16"/>
    <mergeCell ref="D17:D20"/>
    <mergeCell ref="D21:D24"/>
    <mergeCell ref="A25:A28"/>
    <mergeCell ref="B25:B28"/>
    <mergeCell ref="C25:C28"/>
    <mergeCell ref="D25:D28"/>
    <mergeCell ref="A29:A108"/>
    <mergeCell ref="B29:B48"/>
    <mergeCell ref="C29:C48"/>
    <mergeCell ref="D29:D32"/>
    <mergeCell ref="D33:D36"/>
    <mergeCell ref="D37:D40"/>
    <mergeCell ref="D41:D44"/>
    <mergeCell ref="D45:D48"/>
    <mergeCell ref="B49:B68"/>
    <mergeCell ref="C49:C68"/>
    <mergeCell ref="D49:D52"/>
    <mergeCell ref="D53:D56"/>
    <mergeCell ref="D57:D60"/>
    <mergeCell ref="D61:D64"/>
    <mergeCell ref="D65:D68"/>
    <mergeCell ref="B69:B88"/>
    <mergeCell ref="C69:C88"/>
    <mergeCell ref="D69:D72"/>
    <mergeCell ref="D73:D76"/>
    <mergeCell ref="D77:D80"/>
    <mergeCell ref="D81:D84"/>
    <mergeCell ref="D85:D88"/>
    <mergeCell ref="B89:B108"/>
    <mergeCell ref="C89:C108"/>
    <mergeCell ref="D89:D92"/>
    <mergeCell ref="D93:D96"/>
    <mergeCell ref="D97:D100"/>
    <mergeCell ref="D101:D104"/>
    <mergeCell ref="D105:D108"/>
    <mergeCell ref="A109:A188"/>
    <mergeCell ref="B109:B128"/>
    <mergeCell ref="C109:C128"/>
    <mergeCell ref="D109:D112"/>
    <mergeCell ref="D113:D116"/>
    <mergeCell ref="D117:D120"/>
    <mergeCell ref="D121:D124"/>
    <mergeCell ref="D125:D128"/>
    <mergeCell ref="B129:B148"/>
    <mergeCell ref="C129:C148"/>
    <mergeCell ref="D129:D132"/>
    <mergeCell ref="D133:D136"/>
    <mergeCell ref="D137:D140"/>
    <mergeCell ref="D141:D144"/>
    <mergeCell ref="D145:D148"/>
    <mergeCell ref="D161:D164"/>
    <mergeCell ref="D165:D168"/>
    <mergeCell ref="B169:B188"/>
    <mergeCell ref="C169:C188"/>
    <mergeCell ref="D169:D172"/>
    <mergeCell ref="D173:D176"/>
    <mergeCell ref="D177:D180"/>
    <mergeCell ref="D181:D184"/>
    <mergeCell ref="D185:D188"/>
    <mergeCell ref="B149:B168"/>
    <mergeCell ref="C149:C168"/>
    <mergeCell ref="D149:D152"/>
    <mergeCell ref="D153:D156"/>
    <mergeCell ref="D157:D16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9A96F-61FB-4311-83DA-A265DF548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 and EP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ccm6674</dc:creator>
  <cp:lastModifiedBy>Christian Masuhr</cp:lastModifiedBy>
  <dcterms:created xsi:type="dcterms:W3CDTF">2015-06-05T18:19:34Z</dcterms:created>
  <dcterms:modified xsi:type="dcterms:W3CDTF">2026-08-05T09:47:35Z</dcterms:modified>
</cp:coreProperties>
</file>